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 MASTER" sheetId="1" state="visible" r:id="rId1"/>
    <sheet xmlns:r="http://schemas.openxmlformats.org/officeDocument/2006/relationships" name="IA ENTENDER CONSOLIDADA" sheetId="2" state="visible" r:id="rId2"/>
    <sheet xmlns:r="http://schemas.openxmlformats.org/officeDocument/2006/relationships" name="HUMANO ENTENDER CONSOLIDADA" sheetId="3" state="visible" r:id="rId3"/>
    <sheet xmlns:r="http://schemas.openxmlformats.org/officeDocument/2006/relationships" name="LEIA_ME" sheetId="4" state="visible" r:id="rId4"/>
    <sheet xmlns:r="http://schemas.openxmlformats.org/officeDocument/2006/relationships" name="APPEND_BLUEPRINT_IA" sheetId="5" state="visible" r:id="rId5"/>
    <sheet xmlns:r="http://schemas.openxmlformats.org/officeDocument/2006/relationships" name="APPEND_LEGENDA_HUMANA" sheetId="6" state="visible" r:id="rId6"/>
    <sheet xmlns:r="http://schemas.openxmlformats.org/officeDocument/2006/relationships" name="TESTES_SEMANTICOS_APPEND" sheetId="7" state="visible" r:id="rId7"/>
    <sheet xmlns:r="http://schemas.openxmlformats.org/officeDocument/2006/relationships" name="MAPA PERFIS E PERMISSOES" sheetId="8" state="visible" r:id="rId8"/>
    <sheet xmlns:r="http://schemas.openxmlformats.org/officeDocument/2006/relationships" name="FLUXO TOGGLES E APROVACOES" sheetId="9" state="visible" r:id="rId9"/>
    <sheet xmlns:r="http://schemas.openxmlformats.org/officeDocument/2006/relationships" name="FLUXO REGRAS CONDICIONAIS" sheetId="10" state="visible" r:id="rId10"/>
    <sheet xmlns:r="http://schemas.openxmlformats.org/officeDocument/2006/relationships" name="CENTRAL DE ACIONAMENTO" sheetId="11" state="visible" r:id="rId11"/>
    <sheet xmlns:r="http://schemas.openxmlformats.org/officeDocument/2006/relationships" name="LOG BYPASS E AUDITORIA" sheetId="12" state="visible" r:id="rId12"/>
    <sheet xmlns:r="http://schemas.openxmlformats.org/officeDocument/2006/relationships" name="FISCAL MAPA OPERACIONAL" sheetId="13" state="visible" r:id="rId13"/>
    <sheet xmlns:r="http://schemas.openxmlformats.org/officeDocument/2006/relationships" name="FISCAL GATEWAYS" sheetId="14" state="visible" r:id="rId14"/>
    <sheet xmlns:r="http://schemas.openxmlformats.org/officeDocument/2006/relationships" name="FISCAL PROCEDIMENTOS" sheetId="15" state="visible" r:id="rId15"/>
    <sheet xmlns:r="http://schemas.openxmlformats.org/officeDocument/2006/relationships" name="FISCAL TEXTO NF" sheetId="16" state="visible" r:id="rId16"/>
    <sheet xmlns:r="http://schemas.openxmlformats.org/officeDocument/2006/relationships" name="FISCAL TESTES SEMANTICOS" sheetId="17" state="visible" r:id="rId17"/>
    <sheet xmlns:r="http://schemas.openxmlformats.org/officeDocument/2006/relationships" name="FISCAL LEGENDA HUMANA" sheetId="18" state="visible" r:id="rId18"/>
    <sheet xmlns:r="http://schemas.openxmlformats.org/officeDocument/2006/relationships" name="BANCO DADOS ESQUEMA" sheetId="19" state="visible" r:id="rId19"/>
    <sheet xmlns:r="http://schemas.openxmlformats.org/officeDocument/2006/relationships" name="API BACKEND ROTAS" sheetId="20" state="visible" r:id="rId20"/>
    <sheet xmlns:r="http://schemas.openxmlformats.org/officeDocument/2006/relationships" name="FORMULAS INJETAVEIS" sheetId="21" state="visible" r:id="rId21"/>
    <sheet xmlns:r="http://schemas.openxmlformats.org/officeDocument/2006/relationships" name="MAPA FORMULAS E INJETAVEIS" sheetId="22" state="visible" r:id="rId2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2"/>
    </font>
    <font>
      <name val="Arial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IndiceMaster" displayName="IndiceMaster" ref="A4:E12" headerRowCount="1">
  <autoFilter ref="A4:E12"/>
  <tableColumns count="5">
    <tableColumn id="1" name="BLOCO"/>
    <tableColumn id="2" name="OBJETIVO"/>
    <tableColumn id="3" name="ABA / ORIGEM"/>
    <tableColumn id="4" name="STATUS"/>
    <tableColumn id="5" name="USO PRAT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AConsolidada" displayName="IAConsolidada" ref="A4:G47" headerRowCount="1">
  <autoFilter ref="A4:G47"/>
  <tableColumns count="7">
    <tableColumn id="1" name="BLOCO"/>
    <tableColumn id="2" name="CHAVE"/>
    <tableColumn id="3" name="VALOR"/>
    <tableColumn id="4" name="TIPO"/>
    <tableColumn id="5" name="LEITURA IA"/>
    <tableColumn id="6" name="EXEMPLO"/>
    <tableColumn id="7" name="OB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umanoConsolidada" displayName="HumanoConsolidada" ref="A4:E25" headerRowCount="1">
  <autoFilter ref="A4:E25"/>
  <tableColumns count="5">
    <tableColumn id="1" name="TEMA"/>
    <tableColumn id="2" name="EXPLICACAO CURTA"/>
    <tableColumn id="3" name="DECISAO RECOMENDADA"/>
    <tableColumn id="4" name="MOTIVO"/>
    <tableColumn id="5" name="RISCO SE MISTUR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ppendBlueprintIA" displayName="AppendBlueprintIA" ref="A1:G25" headerRowCount="1">
  <autoFilter ref="A1:G25"/>
  <tableColumns count="7">
    <tableColumn id="1" name="BLOCO"/>
    <tableColumn id="2" name="CHAVE"/>
    <tableColumn id="3" name="VALOR"/>
    <tableColumn id="4" name="TIPO"/>
    <tableColumn id="5" name="LEITURA IA"/>
    <tableColumn id="6" name="EXEMPLO"/>
    <tableColumn id="7" name="OB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AppendLegendaHumana" displayName="AppendLegendaHumana" ref="A1:E13" headerRowCount="1">
  <autoFilter ref="A1:E13"/>
  <tableColumns count="5">
    <tableColumn id="1" name="TEMA"/>
    <tableColumn id="2" name="EXPLICACAO CURTA"/>
    <tableColumn id="3" name="DECISAO RECOMENDADA"/>
    <tableColumn id="4" name="MOTIVO"/>
    <tableColumn id="5" name="RISCO SE MISTURAR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TestesSemanticosAppend" displayName="TestesSemanticosAppend" ref="A1:H13" headerRowCount="1">
  <autoFilter ref="A1:H13"/>
  <tableColumns count="8">
    <tableColumn id="1" name="TESTE ID"/>
    <tableColumn id="2" name="ENTRADA / ACAO"/>
    <tableColumn id="3" name="ESPERADO NO MOTOR"/>
    <tableColumn id="4" name="PLACEHOLDER CONTRATO"/>
    <tableColumn id="5" name="PLACEHOLDER NF"/>
    <tableColumn id="6" name="VALIDACAO HUMANA"/>
    <tableColumn id="7" name="STATUS"/>
    <tableColumn id="8" name="OBS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MapaPerfis" displayName="MapaPerfis" ref="A4:H14" headerRowCount="1">
  <autoFilter ref="A4:H14"/>
  <tableColumns count="8">
    <tableColumn id="1" name="PERFIL"/>
    <tableColumn id="2" name="ESCOPO"/>
    <tableColumn id="3" name="PODE EDITAR QUESTIONARIO"/>
    <tableColumn id="4" name="PODE VALIDAR"/>
    <tableColumn id="5" name="PODE BYPASS"/>
    <tableColumn id="6" name="PODE EMITIR NF"/>
    <tableColumn id="7" name="PODE VER DADOS OUTRAS EMPRESAS"/>
    <tableColumn id="8" name="OB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luxoToggles" displayName="FluxoToggles" ref="A4:N15" headerRowCount="1">
  <autoFilter ref="A4:N15"/>
  <tableColumns count="14">
    <tableColumn id="1" name="CODIGO_FLUXO"/>
    <tableColumn id="2" name="TIPO_PROCEDIMENTO"/>
    <tableColumn id="3" name="ETAPA_ORDEM"/>
    <tableColumn id="4" name="ETAPA_NOME"/>
    <tableColumn id="5" name="PERFIL_RESPONSAVEL"/>
    <tableColumn id="6" name="REQUERIDO"/>
    <tableColumn id="7" name="CONDICIONAL"/>
    <tableColumn id="8" name="REGRA_CONDICIONAL"/>
    <tableColumn id="9" name="PODE_BYPASS"/>
    <tableColumn id="10" name="SOMENTE_MEDICO_ADMIN_PODE_BYPASS"/>
    <tableColumn id="11" name="EXIGE_JUSTIFICATIVA"/>
    <tableColumn id="12" name="BLOQUEIA_SE_PENDENTE"/>
    <tableColumn id="13" name="DISPARA_NOTIFICACAO"/>
    <tableColumn id="14" name="OB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luxoRegras" displayName="FluxoRegras" ref="A4:G11" headerRowCount="1">
  <autoFilter ref="A4:G11"/>
  <tableColumns count="7">
    <tableColumn id="1" name="REGRA_ID"/>
    <tableColumn id="2" name="CAMPO_BASE"/>
    <tableColumn id="3" name="OPERADOR"/>
    <tableColumn id="4" name="VALOR"/>
    <tableColumn id="5" name="RESULTADO"/>
    <tableColumn id="6" name="PRIORIDADE"/>
    <tableColumn id="7" name="EXEMPL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entralAcionamento" displayName="CentralAcionamento" ref="A4:L7" headerRowCount="1">
  <autoFilter ref="A4:L7"/>
  <tableColumns count="12">
    <tableColumn id="1" name="ATENDIMENTO_ID"/>
    <tableColumn id="2" name="TENANT"/>
    <tableColumn id="3" name="PACIENTE"/>
    <tableColumn id="4" name="PROCEDIMENTO"/>
    <tableColumn id="5" name="ETAPA_ATUAL"/>
    <tableColumn id="6" name="RESPONSAVEL"/>
    <tableColumn id="7" name="STATUS_GERAL"/>
    <tableColumn id="8" name="STATUS_PAGAMENTO"/>
    <tableColumn id="9" name="STATUS_NORMALIZADO"/>
    <tableColumn id="10" name="PODE_EMITIR_NF"/>
    <tableColumn id="11" name="PROXIMA_ACAO"/>
    <tableColumn id="12" name="OB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ogBypass" displayName="LogBypass" ref="A4:J6" headerRowCount="1">
  <autoFilter ref="A4:J6"/>
  <tableColumns count="10">
    <tableColumn id="1" name="LOG_ID"/>
    <tableColumn id="2" name="ATENDIMENTO_ID"/>
    <tableColumn id="3" name="ETAPA"/>
    <tableColumn id="4" name="BYPASS_REALIZADO"/>
    <tableColumn id="5" name="USUARIO"/>
    <tableColumn id="6" name="PERFIL"/>
    <tableColumn id="7" name="DATA_HORA"/>
    <tableColumn id="8" name="MOTIVO"/>
    <tableColumn id="9" name="RESULTADO"/>
    <tableColumn id="10" name="OB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iscalMapa" displayName="FiscalMapa" ref="A4:F9" headerRowCount="1">
  <autoFilter ref="A4:F9"/>
  <tableColumns count="6">
    <tableColumn id="1" name="ETAPA"/>
    <tableColumn id="2" name="ENTRADA"/>
    <tableColumn id="3" name="PROCESSAMENTO"/>
    <tableColumn id="4" name="SAIDA"/>
    <tableColumn id="5" name="TRAVA"/>
    <tableColumn id="6" name="ACAO_SE_ERR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FiscalGateways" displayName="FiscalGateways" ref="A4:H10" headerRowCount="1">
  <autoFilter ref="A4:H10"/>
  <tableColumns count="8">
    <tableColumn id="1" name="GATEWAY"/>
    <tableColumn id="2" name="STATUS_ORIGEM"/>
    <tableColumn id="3" name="STATUS_INTERNO_PADRAO"/>
    <tableColumn id="4" name="GERA_RECIBO"/>
    <tableColumn id="5" name="LIBERA_NF"/>
    <tableColumn id="6" name="EXIGE_REVISAO"/>
    <tableColumn id="7" name="OBSERVACAO"/>
    <tableColumn id="8" name="STATUS_NORMALIZADO_EXEMPL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FiscalProcedimentos" displayName="FiscalProcedimentos" ref="A4:K11" headerRowCount="1">
  <autoFilter ref="A4:K11"/>
  <tableColumns count="11">
    <tableColumn id="1" name="CODIGO_INTERNO"/>
    <tableColumn id="2" name="CATEGORIA"/>
    <tableColumn id="3" name="SUBCATEGORIA"/>
    <tableColumn id="4" name="NOME_EXIBICAO"/>
    <tableColumn id="5" name="TEXTO_BASE_NF"/>
    <tableColumn id="6" name="PERMITE_QUANTIDADE"/>
    <tableColumn id="7" name="PERMITE_FREQUENCIA"/>
    <tableColumn id="8" name="PERMITE_DURACAO"/>
    <tableColumn id="9" name="EXIGE_CODIGO_INTERNO"/>
    <tableColumn id="10" name="EXIGE_REVISAO_HUMANA"/>
    <tableColumn id="11" name="MODO_TEXT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FiscalTextoNF" displayName="FiscalTextoNF" ref="A4:I8" headerRowCount="1">
  <autoFilter ref="A4:I8"/>
  <tableColumns count="9">
    <tableColumn id="1" name="REGRA_ID"/>
    <tableColumn id="2" name="CATEGORIA"/>
    <tableColumn id="3" name="CONDICAO"/>
    <tableColumn id="4" name="NOME_EXIBICAO"/>
    <tableColumn id="5" name="QUANTIDADE_UNIDADES"/>
    <tableColumn id="6" name="DURACAO_MEDIA"/>
    <tableColumn id="7" name="FREQUENCIA"/>
    <tableColumn id="8" name="TEXTO_TEMPLATE"/>
    <tableColumn id="9" name="TEXTO_NF_FINA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FiscalTestes" displayName="FiscalTestes" ref="A4:G10" headerRowCount="1">
  <autoFilter ref="A4:G10"/>
  <tableColumns count="7">
    <tableColumn id="1" name="TESTE_ID"/>
    <tableColumn id="2" name="ENTRADA"/>
    <tableColumn id="3" name="RESULTADO_ESPERADO"/>
    <tableColumn id="4" name="TEXTO_ESPERADO"/>
    <tableColumn id="5" name="VALIDACAO_HUMANA"/>
    <tableColumn id="6" name="STATUS"/>
    <tableColumn id="7" name="OB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iscalLegenda" displayName="FiscalLegenda" ref="A4:E9" headerRowCount="1">
  <autoFilter ref="A4:E9"/>
  <tableColumns count="5">
    <tableColumn id="1" name="TEMA"/>
    <tableColumn id="2" name="EXPLICACAO_CURTA"/>
    <tableColumn id="3" name="DECISAO_RECOMENDADA"/>
    <tableColumn id="4" name="MOTIVO"/>
    <tableColumn id="5" name="RISCO_SE_NAO_FIZ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BancoDados" displayName="BancoDados" ref="A4:E17" headerRowCount="1">
  <autoFilter ref="A4:E17"/>
  <tableColumns count="5">
    <tableColumn id="1" name="TABELA"/>
    <tableColumn id="2" name="CAMPO"/>
    <tableColumn id="3" name="TIPO"/>
    <tableColumn id="4" name="FINALIDADE"/>
    <tableColumn id="5" name="OB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ApiRotas" displayName="ApiRotas" ref="A4:E12" headerRowCount="1">
  <autoFilter ref="A4:E12"/>
  <tableColumns count="5">
    <tableColumn id="1" name="METODO"/>
    <tableColumn id="2" name="ROTA"/>
    <tableColumn id="3" name="OBJETIVO"/>
    <tableColumn id="4" name="ENTRADA_MINIMA"/>
    <tableColumn id="5" name="SAIDA_ESPE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2" customWidth="1" min="4" max="4"/>
    <col width="42" customWidth="1" min="5" max="5"/>
  </cols>
  <sheetData>
    <row r="1" ht="24" customHeight="1">
      <c r="A1" s="6" t="inlineStr">
        <is>
          <t>PADCOM SAAS MOTOR CLINICO V15</t>
        </is>
      </c>
    </row>
    <row r="2" ht="20" customHeight="1">
      <c r="A2" s="7" t="inlineStr">
        <is>
          <t>CONSOLIDADA UNIFICADA ARQUITETURA EXECUTAVEL MULTIEMPRESA</t>
        </is>
      </c>
    </row>
    <row r="3" ht="20" customHeight="1"/>
    <row r="4" ht="20" customHeight="1">
      <c r="A4" s="8" t="inlineStr">
        <is>
          <t>BLOCO</t>
        </is>
      </c>
      <c r="B4" s="8" t="inlineStr">
        <is>
          <t>OBJETIVO</t>
        </is>
      </c>
      <c r="C4" s="8" t="inlineStr">
        <is>
          <t>ABA / ORIGEM</t>
        </is>
      </c>
      <c r="D4" s="8" t="inlineStr">
        <is>
          <t>STATUS</t>
        </is>
      </c>
      <c r="E4" s="8" t="inlineStr">
        <is>
          <t>USO PRATICO</t>
        </is>
      </c>
    </row>
    <row r="5" ht="20" customHeight="1">
      <c r="A5" s="9" t="inlineStr">
        <is>
          <t>ORIGINAL</t>
        </is>
      </c>
      <c r="B5" s="9" t="inlineStr">
        <is>
          <t>Preservacao integral do arquivo recebido</t>
        </is>
      </c>
      <c r="C5" s="9" t="inlineStr">
        <is>
          <t>LEIA_ME / APPEND / TESTES</t>
        </is>
      </c>
      <c r="D5" s="9" t="inlineStr">
        <is>
          <t>MANTIDO</t>
        </is>
      </c>
      <c r="E5" s="9" t="inlineStr">
        <is>
          <t>Nada foi removido</t>
        </is>
      </c>
    </row>
    <row r="6" ht="20" customHeight="1">
      <c r="A6" s="9" t="inlineStr">
        <is>
          <t>CONSOLIDACAO IA</t>
        </is>
      </c>
      <c r="B6" s="9" t="inlineStr">
        <is>
          <t>Unificar a logica para IA entender o motor</t>
        </is>
      </c>
      <c r="C6" s="9" t="inlineStr">
        <is>
          <t>IA ENTENDER CONSOLIDADA</t>
        </is>
      </c>
      <c r="D6" s="9" t="inlineStr">
        <is>
          <t>NOVO</t>
        </is>
      </c>
      <c r="E6" s="9" t="inlineStr">
        <is>
          <t>Serve como blueprint do backend e da camada semantica</t>
        </is>
      </c>
    </row>
    <row r="7" ht="20" customHeight="1">
      <c r="A7" s="9" t="inlineStr">
        <is>
          <t>CONSOLIDACAO HUMANA</t>
        </is>
      </c>
      <c r="B7" s="9" t="inlineStr">
        <is>
          <t>Traduzir a logica para operacao humana</t>
        </is>
      </c>
      <c r="C7" s="9" t="inlineStr">
        <is>
          <t>HUMANO ENTENDER CONSOLIDADA</t>
        </is>
      </c>
      <c r="D7" s="9" t="inlineStr">
        <is>
          <t>NOVO</t>
        </is>
      </c>
      <c r="E7" s="9" t="inlineStr">
        <is>
          <t>Serve para equipe, treinamento e auditoria</t>
        </is>
      </c>
    </row>
    <row r="8" ht="20" customHeight="1">
      <c r="A8" s="9" t="inlineStr">
        <is>
          <t>WORKFLOW</t>
        </is>
      </c>
      <c r="B8" s="9" t="inlineStr">
        <is>
          <t>Controlar toggles, validadores e bypass</t>
        </is>
      </c>
      <c r="C8" s="9" t="inlineStr">
        <is>
          <t>FLUXO TOGGLES E APROVACOES / FLUXO REGRAS CONDICIONAIS</t>
        </is>
      </c>
      <c r="D8" s="9" t="inlineStr">
        <is>
          <t>NOVO</t>
        </is>
      </c>
      <c r="E8" s="9" t="inlineStr">
        <is>
          <t>Ativa ou dispensa perfis por procedimento</t>
        </is>
      </c>
    </row>
    <row r="9" ht="20" customHeight="1">
      <c r="A9" s="9" t="inlineStr">
        <is>
          <t>OPERACAO</t>
        </is>
      </c>
      <c r="B9" s="9" t="inlineStr">
        <is>
          <t>Acionar tarefas e registrar gargalos</t>
        </is>
      </c>
      <c r="C9" s="9" t="inlineStr">
        <is>
          <t>CENTRAL DE ACIONAMENTO</t>
        </is>
      </c>
      <c r="D9" s="9" t="inlineStr">
        <is>
          <t>NOVO</t>
        </is>
      </c>
      <c r="E9" s="9" t="inlineStr">
        <is>
          <t>Fila operacional do sistema</t>
        </is>
      </c>
    </row>
    <row r="10" ht="20" customHeight="1">
      <c r="A10" s="9" t="inlineStr">
        <is>
          <t>SEGURANCA</t>
        </is>
      </c>
      <c r="B10" s="9" t="inlineStr">
        <is>
          <t>Auditar bypass, logs e responsabilidades</t>
        </is>
      </c>
      <c r="C10" s="9" t="inlineStr">
        <is>
          <t>LOG BYPASS E AUDITORIA / MAPA PERFIS E PERMISSOES</t>
        </is>
      </c>
      <c r="D10" s="9" t="inlineStr">
        <is>
          <t>NOVO</t>
        </is>
      </c>
      <c r="E10" s="9" t="inlineStr">
        <is>
          <t>Protecao juridica e governanca</t>
        </is>
      </c>
    </row>
    <row r="11" ht="20" customHeight="1">
      <c r="A11" s="9" t="inlineStr">
        <is>
          <t>FISCAL</t>
        </is>
      </c>
      <c r="B11" s="9" t="inlineStr">
        <is>
          <t>Padronizar texto, gateways e emissao</t>
        </is>
      </c>
      <c r="C11" s="9" t="inlineStr">
        <is>
          <t>FISCAL MAPA OPERACIONAL / GATEWAYS / PROCEDIMENTOS / TEXTO NF</t>
        </is>
      </c>
      <c r="D11" s="9" t="inlineStr">
        <is>
          <t>NOVO</t>
        </is>
      </c>
      <c r="E11" s="9" t="inlineStr">
        <is>
          <t>Base da emissao fiscal automatica</t>
        </is>
      </c>
    </row>
    <row r="12" ht="20" customHeight="1">
      <c r="A12" s="9" t="inlineStr">
        <is>
          <t>TECNOLOGIA</t>
        </is>
      </c>
      <c r="B12" s="9" t="inlineStr">
        <is>
          <t>Preparar banco e API para Replit</t>
        </is>
      </c>
      <c r="C12" s="9" t="inlineStr">
        <is>
          <t>BANCO DADOS ESQUEMA / API BACKEND ROTAS</t>
        </is>
      </c>
      <c r="D12" s="9" t="inlineStr">
        <is>
          <t>NOVO</t>
        </is>
      </c>
      <c r="E12" s="9" t="inlineStr">
        <is>
          <t>Base da arquitetura executavel</t>
        </is>
      </c>
    </row>
    <row r="13">
      <c r="A13" t="inlineStr">
        <is>
          <t>FORMULAS INJETAVEIS</t>
        </is>
      </c>
      <c r="B13" t="inlineStr">
        <is>
          <t>BASE DE FORMULAS E PROTOCOLOS INJETAVEIS</t>
        </is>
      </c>
      <c r="C13" t="inlineStr">
        <is>
          <t>ATIVA</t>
        </is>
      </c>
      <c r="D13" t="inlineStr">
        <is>
          <t>SIM</t>
        </is>
      </c>
      <c r="E13" t="inlineStr">
        <is>
          <t>NOVO</t>
        </is>
      </c>
    </row>
    <row r="14">
      <c r="A14" t="inlineStr">
        <is>
          <t>MAPA FORMULAS E INJETAVEIS</t>
        </is>
      </c>
      <c r="B14" t="inlineStr">
        <is>
          <t>MAPEAMENTO SEMANTICO PARA FORMULAS E NF</t>
        </is>
      </c>
      <c r="C14" t="inlineStr">
        <is>
          <t>ATIVA</t>
        </is>
      </c>
      <c r="D14" t="inlineStr">
        <is>
          <t>SIM</t>
        </is>
      </c>
      <c r="E14" t="inlineStr">
        <is>
          <t>NOVO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42" customWidth="1" min="3" max="3"/>
    <col width="12" customWidth="1" min="4" max="4"/>
    <col width="42" customWidth="1" min="5" max="5"/>
    <col width="42" customWidth="1" min="6" max="6"/>
    <col width="42" customWidth="1" min="7" max="7"/>
  </cols>
  <sheetData>
    <row r="1" ht="24" customHeight="1">
      <c r="A1" s="6" t="inlineStr">
        <is>
          <t>IA ENTENDER CONSOLIDADA</t>
        </is>
      </c>
    </row>
    <row r="2" ht="20" customHeight="1">
      <c r="A2" s="7" t="inlineStr">
        <is>
          <t>BASE UNIFICADA PARA MOTOR CLINICO + FLUXO + FISCAL + GATEWAYS + AUDITORIA</t>
        </is>
      </c>
    </row>
    <row r="3" ht="20" customHeight="1"/>
    <row r="4" ht="20" customHeight="1">
      <c r="A4" s="8" t="inlineStr">
        <is>
          <t>BLOCO</t>
        </is>
      </c>
      <c r="B4" s="8" t="inlineStr">
        <is>
          <t>CHAVE</t>
        </is>
      </c>
      <c r="C4" s="8" t="inlineStr">
        <is>
          <t>VALOR</t>
        </is>
      </c>
      <c r="D4" s="8" t="inlineStr">
        <is>
          <t>TIPO</t>
        </is>
      </c>
      <c r="E4" s="8" t="inlineStr">
        <is>
          <t>LEITURA IA</t>
        </is>
      </c>
      <c r="F4" s="8" t="inlineStr">
        <is>
          <t>EXEMPLO</t>
        </is>
      </c>
      <c r="G4" s="8" t="inlineStr">
        <is>
          <t>OBS</t>
        </is>
      </c>
    </row>
    <row r="5" ht="20" customHeight="1">
      <c r="A5" s="9" t="inlineStr">
        <is>
          <t>QUESTIONARIO</t>
        </is>
      </c>
      <c r="B5" s="9" t="inlineStr">
        <is>
          <t>PERMITE EDICAO POS RESPOSTA</t>
        </is>
      </c>
      <c r="C5" s="9" t="inlineStr">
        <is>
          <t>1</t>
        </is>
      </c>
      <c r="D5" s="9" t="inlineStr">
        <is>
          <t>BOOL</t>
        </is>
      </c>
      <c r="E5" s="9" t="inlineStr">
        <is>
          <t>SE 1 O QUESTIONARIO PODE SER REABERTO E REPROCESSADO</t>
        </is>
      </c>
      <c r="F5" s="9" t="inlineStr">
        <is>
          <t>1</t>
        </is>
      </c>
      <c r="G5" s="9" t="inlineStr">
        <is>
          <t>NAO APAGA VERSAO ANTERIOR</t>
        </is>
      </c>
    </row>
    <row r="6" ht="20" customHeight="1">
      <c r="A6" s="9" t="inlineStr">
        <is>
          <t>QUESTIONARIO</t>
        </is>
      </c>
      <c r="B6" s="9" t="inlineStr">
        <is>
          <t>REPROCESSAR MOTOR AO EDITAR</t>
        </is>
      </c>
      <c r="C6" s="9" t="inlineStr">
        <is>
          <t>1</t>
        </is>
      </c>
      <c r="D6" s="9" t="inlineStr">
        <is>
          <t>BOOL</t>
        </is>
      </c>
      <c r="E6" s="9" t="inlineStr">
        <is>
          <t>SE 1 TODA EDICAO REATIVA MATCH SEMANTICO E SAIDAS</t>
        </is>
      </c>
      <c r="F6" s="9" t="inlineStr">
        <is>
          <t>1</t>
        </is>
      </c>
      <c r="G6" s="9" t="inlineStr">
        <is>
          <t>CORE DO MOTOR CLINICO</t>
        </is>
      </c>
    </row>
    <row r="7" ht="20" customHeight="1">
      <c r="A7" s="9" t="inlineStr">
        <is>
          <t>QUESTIONARIO</t>
        </is>
      </c>
      <c r="B7" s="9" t="inlineStr">
        <is>
          <t>VERSAO RESPOSTA</t>
        </is>
      </c>
      <c r="C7" s="9" t="inlineStr">
        <is>
          <t>ATIVA</t>
        </is>
      </c>
      <c r="D7" s="9" t="inlineStr">
        <is>
          <t>ENUM</t>
        </is>
      </c>
      <c r="E7" s="9" t="inlineStr">
        <is>
          <t>MARCA QUAL E A VERSAO VALIDA PARA DOCUMENTOS E NF</t>
        </is>
      </c>
      <c r="F7" s="9" t="inlineStr">
        <is>
          <t>V1 / V2 / V3</t>
        </is>
      </c>
      <c r="G7" s="9" t="inlineStr">
        <is>
          <t>ULTIMA VERSAO APROVADA</t>
        </is>
      </c>
    </row>
    <row r="8" ht="20" customHeight="1">
      <c r="A8" s="9" t="inlineStr">
        <is>
          <t>QUESTIONARIO</t>
        </is>
      </c>
      <c r="B8" s="9" t="inlineStr">
        <is>
          <t>REGISTRAR DATA HORA EDICAO</t>
        </is>
      </c>
      <c r="C8" s="9" t="inlineStr">
        <is>
          <t>1</t>
        </is>
      </c>
      <c r="D8" s="9" t="inlineStr">
        <is>
          <t>BOOL</t>
        </is>
      </c>
      <c r="E8" s="9" t="inlineStr">
        <is>
          <t>GRAVA TIMESTAMP DA EDICAO</t>
        </is>
      </c>
      <c r="F8" s="9" t="inlineStr">
        <is>
          <t>1</t>
        </is>
      </c>
      <c r="G8" s="9" t="inlineStr">
        <is>
          <t>AUDITORIA</t>
        </is>
      </c>
    </row>
    <row r="9" ht="20" customHeight="1">
      <c r="A9" s="9" t="inlineStr">
        <is>
          <t>QUESTIONARIO</t>
        </is>
      </c>
      <c r="B9" s="9" t="inlineStr">
        <is>
          <t>REGISTRAR USUARIO EDICAO</t>
        </is>
      </c>
      <c r="C9" s="9" t="inlineStr">
        <is>
          <t>1</t>
        </is>
      </c>
      <c r="D9" s="9" t="inlineStr">
        <is>
          <t>BOOL</t>
        </is>
      </c>
      <c r="E9" s="9" t="inlineStr">
        <is>
          <t>GRAVA QUEM ALTEROU A RESPOSTA</t>
        </is>
      </c>
      <c r="F9" s="9" t="inlineStr">
        <is>
          <t>SECRETARIA / MEDICO / VALIDADOR</t>
        </is>
      </c>
      <c r="G9" s="9" t="inlineStr">
        <is>
          <t>AUDITORIA</t>
        </is>
      </c>
    </row>
    <row r="10" ht="20" customHeight="1">
      <c r="A10" s="9" t="inlineStr">
        <is>
          <t>QUESTIONARIO</t>
        </is>
      </c>
      <c r="B10" s="9" t="inlineStr">
        <is>
          <t>REGISTRAR MOTIVO EDICAO</t>
        </is>
      </c>
      <c r="C10" s="9" t="inlineStr">
        <is>
          <t>1</t>
        </is>
      </c>
      <c r="D10" s="9" t="inlineStr">
        <is>
          <t>BOOL</t>
        </is>
      </c>
      <c r="E10" s="9" t="inlineStr">
        <is>
          <t>EXIGE MOTIVO CURTO AO ALTERAR RESPOSTA</t>
        </is>
      </c>
      <c r="F10" s="9" t="inlineStr">
        <is>
          <t>CORRECAO CADASTRAL</t>
        </is>
      </c>
      <c r="G10" s="9" t="inlineStr">
        <is>
          <t>RECOMENDADO</t>
        </is>
      </c>
    </row>
    <row r="11" ht="20" customHeight="1">
      <c r="A11" s="9" t="inlineStr">
        <is>
          <t>SEMANTICA</t>
        </is>
      </c>
      <c r="B11" s="9" t="inlineStr">
        <is>
          <t>NORMALIZAR TEXTO LIVRE</t>
        </is>
      </c>
      <c r="C11" s="9" t="inlineStr">
        <is>
          <t>1</t>
        </is>
      </c>
      <c r="D11" s="9" t="inlineStr">
        <is>
          <t>BOOL</t>
        </is>
      </c>
      <c r="E11" s="9" t="inlineStr">
        <is>
          <t>CONVERTE QUEIXA / SINTOMA LIVRE EM CODIGOS PADRONIZADOS</t>
        </is>
      </c>
      <c r="F11" s="9" t="inlineStr">
        <is>
          <t>1</t>
        </is>
      </c>
      <c r="G11" s="9" t="inlineStr">
        <is>
          <t>ANTES DOS PLACEHOLDERS</t>
        </is>
      </c>
    </row>
    <row r="12" ht="20" customHeight="1">
      <c r="A12" s="9" t="inlineStr">
        <is>
          <t>SEMANTICA</t>
        </is>
      </c>
      <c r="B12" s="9" t="inlineStr">
        <is>
          <t>DETECTAR CONTRADICAO CLINICA</t>
        </is>
      </c>
      <c r="C12" s="9" t="inlineStr">
        <is>
          <t>1</t>
        </is>
      </c>
      <c r="D12" s="9" t="inlineStr">
        <is>
          <t>BOOL</t>
        </is>
      </c>
      <c r="E12" s="9" t="inlineStr">
        <is>
          <t>SINALIZA COMBINACOES INCONSISTENTES</t>
        </is>
      </c>
      <c r="F12" s="9" t="inlineStr">
        <is>
          <t>GRAVIDEZ + SEXO MASCULINO</t>
        </is>
      </c>
      <c r="G12" s="9" t="inlineStr">
        <is>
          <t>BLOQUEAR ATE VALIDACAO</t>
        </is>
      </c>
    </row>
    <row r="13" ht="20" customHeight="1">
      <c r="A13" s="9" t="inlineStr">
        <is>
          <t>SEMANTICA</t>
        </is>
      </c>
      <c r="B13" s="9" t="inlineStr">
        <is>
          <t>DETECTAR DADO OBRIGATORIO AUSENTE</t>
        </is>
      </c>
      <c r="C13" s="9" t="inlineStr">
        <is>
          <t>1</t>
        </is>
      </c>
      <c r="D13" s="9" t="inlineStr">
        <is>
          <t>BOOL</t>
        </is>
      </c>
      <c r="E13" s="9" t="inlineStr">
        <is>
          <t>NAO GERA DOCUMENTO SE FALTAR CAMPO CRITICO</t>
        </is>
      </c>
      <c r="F13" s="9" t="inlineStr">
        <is>
          <t>CPF VAZIO</t>
        </is>
      </c>
      <c r="G13" s="9" t="inlineStr">
        <is>
          <t>BLOQUEIO JURIDICO/FISCAL</t>
        </is>
      </c>
    </row>
    <row r="14" ht="20" customHeight="1">
      <c r="A14" s="9" t="inlineStr">
        <is>
          <t>MOTOR</t>
        </is>
      </c>
      <c r="B14" s="9" t="inlineStr">
        <is>
          <t>GERAR PLACEHOLDERS CONTRATO</t>
        </is>
      </c>
      <c r="C14" s="9" t="inlineStr">
        <is>
          <t>1</t>
        </is>
      </c>
      <c r="D14" s="9" t="inlineStr">
        <is>
          <t>BOOL</t>
        </is>
      </c>
      <c r="E14" s="9" t="inlineStr">
        <is>
          <t>MONTA OBJETO PARA PDF DE CONTRATO / CONSENTIMENTO</t>
        </is>
      </c>
      <c r="F14" s="9" t="inlineStr">
        <is>
          <t>1</t>
        </is>
      </c>
      <c r="G14" s="9" t="inlineStr">
        <is>
          <t>SAIDA DOCUMENTAL</t>
        </is>
      </c>
    </row>
    <row r="15" ht="20" customHeight="1">
      <c r="A15" s="9" t="inlineStr">
        <is>
          <t>MOTOR</t>
        </is>
      </c>
      <c r="B15" s="9" t="inlineStr">
        <is>
          <t>GERAR PLACEHOLDERS NF</t>
        </is>
      </c>
      <c r="C15" s="9" t="inlineStr">
        <is>
          <t>1</t>
        </is>
      </c>
      <c r="D15" s="9" t="inlineStr">
        <is>
          <t>BOOL</t>
        </is>
      </c>
      <c r="E15" s="9" t="inlineStr">
        <is>
          <t>MONTA OBJETO PARA BACKEND FISCAL</t>
        </is>
      </c>
      <c r="F15" s="9" t="inlineStr">
        <is>
          <t>1</t>
        </is>
      </c>
      <c r="G15" s="9" t="inlineStr">
        <is>
          <t>SAIDA FISCAL</t>
        </is>
      </c>
    </row>
    <row r="16" ht="20" customHeight="1">
      <c r="A16" s="9" t="inlineStr">
        <is>
          <t>MOTOR</t>
        </is>
      </c>
      <c r="B16" s="9" t="inlineStr">
        <is>
          <t>GERAR LOG AUDITORIA DOCUMENTAL</t>
        </is>
      </c>
      <c r="C16" s="9" t="inlineStr">
        <is>
          <t>1</t>
        </is>
      </c>
      <c r="D16" s="9" t="inlineStr">
        <is>
          <t>BOOL</t>
        </is>
      </c>
      <c r="E16" s="9" t="inlineStr">
        <is>
          <t>REGISTRA QUAL RESPOSTA GEROU QUAL DOCUMENTO</t>
        </is>
      </c>
      <c r="F16" s="9" t="inlineStr">
        <is>
          <t>1</t>
        </is>
      </c>
      <c r="G16" s="9" t="inlineStr">
        <is>
          <t>TRILHA DE PROVA</t>
        </is>
      </c>
    </row>
    <row r="17" ht="20" customHeight="1">
      <c r="A17" s="9" t="inlineStr">
        <is>
          <t>PLACEHOLDERS</t>
        </is>
      </c>
      <c r="B17" s="9" t="inlineStr">
        <is>
          <t>CAMPOS CONTRATO OBRIGATORIOS</t>
        </is>
      </c>
      <c r="C17" s="9" t="inlineStr">
        <is>
          <t>PACIENTE|CPF|PROCEDIMENTO|EMPRESA|PROFISSIONAL|VALOR</t>
        </is>
      </c>
      <c r="D17" s="9" t="inlineStr">
        <is>
          <t>ENUM LIST</t>
        </is>
      </c>
      <c r="E17" s="9" t="inlineStr">
        <is>
          <t>SEM ESSES CAMPOS O PDF CONTRATUAL FICA BLOQUEADO</t>
        </is>
      </c>
      <c r="F17" s="9" t="inlineStr">
        <is>
          <t>PACIENTE|CPF|PROCEDIMENTO</t>
        </is>
      </c>
      <c r="G17" s="9" t="inlineStr">
        <is>
          <t>MINIMO JURIDICO OPERACIONAL</t>
        </is>
      </c>
    </row>
    <row r="18" ht="20" customHeight="1">
      <c r="A18" s="9" t="inlineStr">
        <is>
          <t>PLACEHOLDERS</t>
        </is>
      </c>
      <c r="B18" s="9" t="inlineStr">
        <is>
          <t>CAMPOS NF OBRIGATORIOS</t>
        </is>
      </c>
      <c r="C18" s="9" t="inlineStr">
        <is>
          <t>TOMADOR|CPF/CNPJ|SERVICO|CODIGO SERVICO|VALOR|MUNICIPIO</t>
        </is>
      </c>
      <c r="D18" s="9" t="inlineStr">
        <is>
          <t>ENUM LIST</t>
        </is>
      </c>
      <c r="E18" s="9" t="inlineStr">
        <is>
          <t>SEM ESSES CAMPOS O PAYLOAD FISCAL FICA BLOQUEADO</t>
        </is>
      </c>
      <c r="F18" s="9" t="inlineStr">
        <is>
          <t>SERVICO|VALOR|MUNICIPIO</t>
        </is>
      </c>
      <c r="G18" s="9" t="inlineStr">
        <is>
          <t>MINIMO FISCAL</t>
        </is>
      </c>
    </row>
    <row r="19" ht="20" customHeight="1">
      <c r="A19" s="9" t="inlineStr">
        <is>
          <t>PLACEHOLDERS</t>
        </is>
      </c>
      <c r="B19" s="9" t="inlineStr">
        <is>
          <t>ORIGEM DADOS PACIENTE</t>
        </is>
      </c>
      <c r="C19" s="9" t="inlineStr">
        <is>
          <t>PACIENTES + QUESTIONARIO</t>
        </is>
      </c>
      <c r="D19" s="9" t="inlineStr">
        <is>
          <t>TEXT</t>
        </is>
      </c>
      <c r="E19" s="9" t="inlineStr">
        <is>
          <t>DADOS VEM DO CADASTRO E DA VERSAO ATIVA DO QUESTIONARIO</t>
        </is>
      </c>
      <c r="F19" s="9" t="inlineStr">
        <is>
          <t>PACIENTES + QUESTIONARIO</t>
        </is>
      </c>
      <c r="G19" s="9" t="inlineStr">
        <is>
          <t>NAO DUPLICAR FONTE</t>
        </is>
      </c>
    </row>
    <row r="20" ht="20" customHeight="1">
      <c r="A20" s="9" t="inlineStr">
        <is>
          <t>PLACEHOLDERS</t>
        </is>
      </c>
      <c r="B20" s="9" t="inlineStr">
        <is>
          <t>ORIGEM DADOS EMPRESA</t>
        </is>
      </c>
      <c r="C20" s="9" t="inlineStr">
        <is>
          <t>EMPRESAS / UNIDADES</t>
        </is>
      </c>
      <c r="D20" s="9" t="inlineStr">
        <is>
          <t>TEXT</t>
        </is>
      </c>
      <c r="E20" s="9" t="inlineStr">
        <is>
          <t>EMISSOR E RODAPE CONTRATUAL SAEM DA BASE DA EMPRESA</t>
        </is>
      </c>
      <c r="F20" s="9" t="inlineStr">
        <is>
          <t>EMP001</t>
        </is>
      </c>
      <c r="G20" s="9" t="inlineStr">
        <is>
          <t>MULTIEMPRESA</t>
        </is>
      </c>
    </row>
    <row r="21" ht="20" customHeight="1">
      <c r="A21" s="9" t="inlineStr">
        <is>
          <t>PLACEHOLDERS</t>
        </is>
      </c>
      <c r="B21" s="9" t="inlineStr">
        <is>
          <t>ORIGEM DADOS PROFISSIONAL</t>
        </is>
      </c>
      <c r="C21" s="9" t="inlineStr">
        <is>
          <t>PROFISSIONAIS</t>
        </is>
      </c>
      <c r="D21" s="9" t="inlineStr">
        <is>
          <t>TEXT</t>
        </is>
      </c>
      <c r="E21" s="9" t="inlineStr">
        <is>
          <t>ASSINATURA E RESPONSAVEL TECNICO SAEM DA BASE PROFISSIONAIS</t>
        </is>
      </c>
      <c r="F21" s="9" t="inlineStr">
        <is>
          <t>PROF001</t>
        </is>
      </c>
      <c r="G21" s="9" t="inlineStr">
        <is>
          <t>MULTIPERFIL</t>
        </is>
      </c>
    </row>
    <row r="22" ht="20" customHeight="1">
      <c r="A22" s="9" t="inlineStr">
        <is>
          <t>PLACEHOLDERS</t>
        </is>
      </c>
      <c r="B22" s="9" t="inlineStr">
        <is>
          <t>ORIGEM DADOS PROCEDIMENTO</t>
        </is>
      </c>
      <c r="C22" s="9" t="inlineStr">
        <is>
          <t>BASE EXAMES MOTOR / PROTOCOLOS / FORMULAS</t>
        </is>
      </c>
      <c r="D22" s="9" t="inlineStr">
        <is>
          <t>TEXT</t>
        </is>
      </c>
      <c r="E22" s="9" t="inlineStr">
        <is>
          <t>ITEM FISCAL E TEXTO CONTRATUAL DEVEM VIR DO ITEM APROVADO</t>
        </is>
      </c>
      <c r="F22" s="9" t="inlineStr">
        <is>
          <t>EXAM TIRE DIAG 001</t>
        </is>
      </c>
      <c r="G22" s="9" t="inlineStr">
        <is>
          <t>USAR CODIGO PADCOM</t>
        </is>
      </c>
    </row>
    <row r="23" ht="20" customHeight="1">
      <c r="A23" s="9" t="inlineStr">
        <is>
          <t>JURIDICO</t>
        </is>
      </c>
      <c r="B23" s="9" t="inlineStr">
        <is>
          <t>BLOQUEAR CONTRATO SEM VALIDACAO</t>
        </is>
      </c>
      <c r="C23" s="9" t="inlineStr">
        <is>
          <t>1</t>
        </is>
      </c>
      <c r="D23" s="9" t="inlineStr">
        <is>
          <t>BOOL</t>
        </is>
      </c>
      <c r="E23" s="9" t="inlineStr">
        <is>
          <t>NAO GERA PDF FINAL SE CASO EXIGIR VALIDACAO E ELA NAO EXISTIR</t>
        </is>
      </c>
      <c r="F23" s="9" t="inlineStr">
        <is>
          <t>1</t>
        </is>
      </c>
      <c r="G23" s="9" t="inlineStr">
        <is>
          <t>GOVERNANCA</t>
        </is>
      </c>
    </row>
    <row r="24" ht="20" customHeight="1">
      <c r="A24" s="9" t="inlineStr">
        <is>
          <t>FISCAL</t>
        </is>
      </c>
      <c r="B24" s="9" t="inlineStr">
        <is>
          <t>BLOQUEAR NF SEM PRECO OU CODIGO</t>
        </is>
      </c>
      <c r="C24" s="9" t="inlineStr">
        <is>
          <t>1</t>
        </is>
      </c>
      <c r="D24" s="9" t="inlineStr">
        <is>
          <t>BOOL</t>
        </is>
      </c>
      <c r="E24" s="9" t="inlineStr">
        <is>
          <t>NAO ENVIA PAYLOAD FISCAL SEM VALOR OU CODIGO DE SERVICO</t>
        </is>
      </c>
      <c r="F24" s="9" t="inlineStr">
        <is>
          <t>1</t>
        </is>
      </c>
      <c r="G24" s="9" t="inlineStr">
        <is>
          <t>EVITA ERRO NO BACKEND</t>
        </is>
      </c>
    </row>
    <row r="25" ht="20" customHeight="1">
      <c r="A25" s="9" t="inlineStr">
        <is>
          <t>PERFIS</t>
        </is>
      </c>
      <c r="B25" s="9" t="inlineStr">
        <is>
          <t>EDITAR QUESTIONARIO</t>
        </is>
      </c>
      <c r="C25" s="9" t="inlineStr">
        <is>
          <t>MEDICO|SECRETARIA|VALIDADOR 1|VALIDADOR 2|VALIDADOR 3|MEDICO +4</t>
        </is>
      </c>
      <c r="D25" s="9" t="inlineStr">
        <is>
          <t>ENUM LIST</t>
        </is>
      </c>
      <c r="E25" s="9" t="inlineStr">
        <is>
          <t>LISTA DE PERFIS COM PERMISSAO DE EDICAO</t>
        </is>
      </c>
      <c r="F25" s="9" t="inlineStr">
        <is>
          <t>MEDICO|SECRETARIA</t>
        </is>
      </c>
      <c r="G25" s="9" t="inlineStr">
        <is>
          <t>ALINHAR COM ACL</t>
        </is>
      </c>
    </row>
    <row r="26" ht="20" customHeight="1">
      <c r="A26" s="9" t="inlineStr">
        <is>
          <t>PERFIS</t>
        </is>
      </c>
      <c r="B26" s="9" t="inlineStr">
        <is>
          <t>LIBERAR PDF CONTRATUAL</t>
        </is>
      </c>
      <c r="C26" s="9" t="inlineStr">
        <is>
          <t>MEDICO|MEDICO +4</t>
        </is>
      </c>
      <c r="D26" s="9" t="inlineStr">
        <is>
          <t>ENUM LIST</t>
        </is>
      </c>
      <c r="E26" s="9" t="inlineStr">
        <is>
          <t>QUEM PODE APROVAR SAIDA FINAL DE DOCUMENTO</t>
        </is>
      </c>
      <c r="F26" s="9" t="inlineStr">
        <is>
          <t>MEDICO</t>
        </is>
      </c>
      <c r="G26" s="9" t="inlineStr">
        <is>
          <t>NAO LIBERAR PARA PERFIL OPERACIONAL PURO</t>
        </is>
      </c>
    </row>
    <row r="27" ht="20" customHeight="1">
      <c r="A27" s="9" t="inlineStr">
        <is>
          <t>PERFIS</t>
        </is>
      </c>
      <c r="B27" s="9" t="inlineStr">
        <is>
          <t>LIBERAR PAYLOAD NF</t>
        </is>
      </c>
      <c r="C27" s="9" t="inlineStr">
        <is>
          <t>SECRETARIA|FINANCEIRO|MEDICO</t>
        </is>
      </c>
      <c r="D27" s="9" t="inlineStr">
        <is>
          <t>ENUM LIST</t>
        </is>
      </c>
      <c r="E27" s="9" t="inlineStr">
        <is>
          <t>QUEM PODE ACIONAR O ENVIO FISCAL</t>
        </is>
      </c>
      <c r="F27" s="9" t="inlineStr">
        <is>
          <t>SECRETARIA|FINANCEIRO</t>
        </is>
      </c>
      <c r="G27" s="9" t="inlineStr">
        <is>
          <t>COM LOG</t>
        </is>
      </c>
    </row>
    <row r="28" ht="20" customHeight="1">
      <c r="A28" s="9" t="inlineStr">
        <is>
          <t>SAIDA</t>
        </is>
      </c>
      <c r="B28" s="9" t="inlineStr">
        <is>
          <t>DOCUMENTOS GERADOS</t>
        </is>
      </c>
      <c r="C28" s="9" t="inlineStr">
        <is>
          <t>PDF CONTRATO|PDF CONSENTIMENTO|PAYLOAD NF|LOG AUDITORIA</t>
        </is>
      </c>
      <c r="D28" s="9" t="inlineStr">
        <is>
          <t>ENUM LIST</t>
        </is>
      </c>
      <c r="E28" s="9" t="inlineStr">
        <is>
          <t>PACOTE MINIMO APOS VALIDACAO</t>
        </is>
      </c>
      <c r="F28" s="9" t="inlineStr">
        <is>
          <t>PDF CONTRATO|PAYLOAD NF</t>
        </is>
      </c>
      <c r="G28" s="9" t="inlineStr">
        <is>
          <t>EXPANDIVEL</t>
        </is>
      </c>
    </row>
    <row r="29" ht="20" customHeight="1">
      <c r="A29" s="9" t="n"/>
      <c r="B29" s="9" t="n"/>
      <c r="C29" s="9" t="n"/>
      <c r="D29" s="9" t="n"/>
      <c r="E29" s="9" t="n"/>
      <c r="F29" s="9" t="n"/>
      <c r="G29" s="9" t="n"/>
    </row>
    <row r="30" ht="20" customHeight="1">
      <c r="A30" s="9" t="inlineStr">
        <is>
          <t>WORKFLOW</t>
        </is>
      </c>
      <c r="B30" s="9" t="inlineStr">
        <is>
          <t>TOGGLE REQUER SECRETARIA</t>
        </is>
      </c>
      <c r="C30" s="9" t="inlineStr">
        <is>
          <t>1</t>
        </is>
      </c>
      <c r="D30" s="9" t="inlineStr">
        <is>
          <t>BOOL</t>
        </is>
      </c>
      <c r="E30" s="9" t="inlineStr">
        <is>
          <t>SE 1 A SECRETARIA ENTRA NO FLUXO</t>
        </is>
      </c>
      <c r="F30" s="9" t="inlineStr">
        <is>
          <t>1</t>
        </is>
      </c>
      <c r="G30" s="9" t="inlineStr">
        <is>
          <t>PODE SER DESLIGADO POR PROCEDIMENTO</t>
        </is>
      </c>
    </row>
    <row r="31" ht="20" customHeight="1">
      <c r="A31" s="9" t="inlineStr">
        <is>
          <t>WORKFLOW</t>
        </is>
      </c>
      <c r="B31" s="9" t="inlineStr">
        <is>
          <t>TOGGLE REQUER VALIDADOR 1</t>
        </is>
      </c>
      <c r="C31" s="9" t="inlineStr">
        <is>
          <t>1</t>
        </is>
      </c>
      <c r="D31" s="9" t="inlineStr">
        <is>
          <t>BOOL</t>
        </is>
      </c>
      <c r="E31" s="9" t="inlineStr">
        <is>
          <t>SE 1 O VALIDADOR 1 PRECISA APROVAR</t>
        </is>
      </c>
      <c r="F31" s="9" t="inlineStr">
        <is>
          <t>1</t>
        </is>
      </c>
      <c r="G31" s="9" t="inlineStr">
        <is>
          <t>PODE SER CONDICIONAL</t>
        </is>
      </c>
    </row>
    <row r="32" ht="20" customHeight="1">
      <c r="A32" s="9" t="inlineStr">
        <is>
          <t>WORKFLOW</t>
        </is>
      </c>
      <c r="B32" s="9" t="inlineStr">
        <is>
          <t>TOGGLE REQUER VALIDADOR 2</t>
        </is>
      </c>
      <c r="C32" s="9" t="inlineStr">
        <is>
          <t>0</t>
        </is>
      </c>
      <c r="D32" s="9" t="inlineStr">
        <is>
          <t>BOOL</t>
        </is>
      </c>
      <c r="E32" s="9" t="inlineStr">
        <is>
          <t>SE 1 O VALIDADOR 2 PRECISA APROVAR</t>
        </is>
      </c>
      <c r="F32" s="9" t="inlineStr">
        <is>
          <t>0</t>
        </is>
      </c>
      <c r="G32" s="9" t="inlineStr">
        <is>
          <t>USAR EM CASOS DE MAIOR RISCO</t>
        </is>
      </c>
    </row>
    <row r="33" ht="20" customHeight="1">
      <c r="A33" s="9" t="inlineStr">
        <is>
          <t>WORKFLOW</t>
        </is>
      </c>
      <c r="B33" s="9" t="inlineStr">
        <is>
          <t>TOGGLE REQUER VALIDADOR 3</t>
        </is>
      </c>
      <c r="C33" s="9" t="inlineStr">
        <is>
          <t>0</t>
        </is>
      </c>
      <c r="D33" s="9" t="inlineStr">
        <is>
          <t>BOOL</t>
        </is>
      </c>
      <c r="E33" s="9" t="inlineStr">
        <is>
          <t>SE 1 O VALIDADOR 3 PRECISA APROVAR</t>
        </is>
      </c>
      <c r="F33" s="9" t="inlineStr">
        <is>
          <t>0</t>
        </is>
      </c>
      <c r="G33" s="9" t="inlineStr">
        <is>
          <t>USAR EM CASOS EXCEPCIONAIS</t>
        </is>
      </c>
    </row>
    <row r="34" ht="20" customHeight="1">
      <c r="A34" s="9" t="inlineStr">
        <is>
          <t>WORKFLOW</t>
        </is>
      </c>
      <c r="B34" s="9" t="inlineStr">
        <is>
          <t>TOGGLE REQUER MEDICO EXECUTOR</t>
        </is>
      </c>
      <c r="C34" s="9" t="inlineStr">
        <is>
          <t>1</t>
        </is>
      </c>
      <c r="D34" s="9" t="inlineStr">
        <is>
          <t>BOOL</t>
        </is>
      </c>
      <c r="E34" s="9" t="inlineStr">
        <is>
          <t>SE 1 O MEDICO EXECUTOR PRECISA CONCLUIR ETAPA</t>
        </is>
      </c>
      <c r="F34" s="9" t="inlineStr">
        <is>
          <t>1</t>
        </is>
      </c>
      <c r="G34" s="9" t="inlineStr">
        <is>
          <t>PADRAO PARA PROCEDIMENTO CLINICO</t>
        </is>
      </c>
    </row>
    <row r="35" ht="20" customHeight="1">
      <c r="A35" s="9" t="inlineStr">
        <is>
          <t>WORKFLOW</t>
        </is>
      </c>
      <c r="B35" s="9" t="inlineStr">
        <is>
          <t>PODE BYPASS MEDICO ADMIN</t>
        </is>
      </c>
      <c r="C35" s="9" t="inlineStr">
        <is>
          <t>1</t>
        </is>
      </c>
      <c r="D35" s="9" t="inlineStr">
        <is>
          <t>BOOL</t>
        </is>
      </c>
      <c r="E35" s="9" t="inlineStr">
        <is>
          <t>SE 1 O MEDICO ADMINISTRADOR PODE PULAR ETAPAS</t>
        </is>
      </c>
      <c r="F35" s="9" t="inlineStr">
        <is>
          <t>1</t>
        </is>
      </c>
      <c r="G35" s="9" t="inlineStr">
        <is>
          <t>REGISTRAR JUSTIFICATIVA</t>
        </is>
      </c>
    </row>
    <row r="36" ht="20" customHeight="1">
      <c r="A36" s="9" t="inlineStr">
        <is>
          <t>WORKFLOW</t>
        </is>
      </c>
      <c r="B36" s="9" t="inlineStr">
        <is>
          <t>EXIGE JUSTIFICATIVA BYPASS</t>
        </is>
      </c>
      <c r="C36" s="9" t="inlineStr">
        <is>
          <t>1</t>
        </is>
      </c>
      <c r="D36" s="9" t="inlineStr">
        <is>
          <t>BOOL</t>
        </is>
      </c>
      <c r="E36" s="9" t="inlineStr">
        <is>
          <t>SE 1 O BYPASS SEM JUSTIFICATIVA BLOQUEIA</t>
        </is>
      </c>
      <c r="F36" s="9" t="inlineStr">
        <is>
          <t>1</t>
        </is>
      </c>
      <c r="G36" s="9" t="inlineStr">
        <is>
          <t>AUDITORIA OBRIGATORIA</t>
        </is>
      </c>
    </row>
    <row r="37" ht="20" customHeight="1">
      <c r="A37" s="9" t="inlineStr">
        <is>
          <t>WORKFLOW</t>
        </is>
      </c>
      <c r="B37" s="9" t="inlineStr">
        <is>
          <t>BLOQUEIA FLUXO SE ETAPA PENDENTE</t>
        </is>
      </c>
      <c r="C37" s="9" t="inlineStr">
        <is>
          <t>1</t>
        </is>
      </c>
      <c r="D37" s="9" t="inlineStr">
        <is>
          <t>BOOL</t>
        </is>
      </c>
      <c r="E37" s="9" t="inlineStr">
        <is>
          <t>SE 1 ETAPA PENDENTE IMPEDE PROXIMA CAMADA</t>
        </is>
      </c>
      <c r="F37" s="9" t="inlineStr">
        <is>
          <t>1</t>
        </is>
      </c>
      <c r="G37" s="9" t="inlineStr">
        <is>
          <t>GARANTE ORDEM OPERACIONAL</t>
        </is>
      </c>
    </row>
    <row r="38" ht="20" customHeight="1">
      <c r="A38" s="9" t="inlineStr">
        <is>
          <t>PAGAMENTO</t>
        </is>
      </c>
      <c r="B38" s="9" t="inlineStr">
        <is>
          <t>GATEWAY PAGAMENTO</t>
        </is>
      </c>
      <c r="C38" s="9" t="inlineStr">
        <is>
          <t>ASAAS / MERCADO PAGO</t>
        </is>
      </c>
      <c r="D38" s="9" t="inlineStr">
        <is>
          <t>ENUM</t>
        </is>
      </c>
      <c r="E38" s="9" t="inlineStr">
        <is>
          <t>ORIGEM DO PAGAMENTO</t>
        </is>
      </c>
      <c r="F38" s="9" t="inlineStr">
        <is>
          <t>ASAAS</t>
        </is>
      </c>
      <c r="G38" s="9" t="inlineStr">
        <is>
          <t>BASE PARA NF</t>
        </is>
      </c>
    </row>
    <row r="39" ht="20" customHeight="1">
      <c r="A39" s="9" t="inlineStr">
        <is>
          <t>PAGAMENTO</t>
        </is>
      </c>
      <c r="B39" s="9" t="inlineStr">
        <is>
          <t>STATUS PAGAMENTO NORMALIZADO</t>
        </is>
      </c>
      <c r="C39" s="9" t="inlineStr">
        <is>
          <t>FORMULA</t>
        </is>
      </c>
      <c r="D39" s="9" t="inlineStr">
        <is>
          <t>FORMULA</t>
        </is>
      </c>
      <c r="E39" s="9" t="inlineStr">
        <is>
          <t>CONVERTE STATUS DO GATEWAY EM APROVADO OU NAO</t>
        </is>
      </c>
      <c r="F39" s="9">
        <f>SE(OU(I2="approved";I2="CONFIRMED");"APROVADO";"NAO_APROVADO")</f>
        <v/>
      </c>
      <c r="G39" s="9" t="inlineStr">
        <is>
          <t>EXEMPLO LOGICO</t>
        </is>
      </c>
    </row>
    <row r="40" ht="20" customHeight="1">
      <c r="A40" s="9" t="inlineStr">
        <is>
          <t>FISCAL</t>
        </is>
      </c>
      <c r="B40" s="9" t="inlineStr">
        <is>
          <t>LIBERAR NF SOMENTE POS PAGAMENTO</t>
        </is>
      </c>
      <c r="C40" s="9" t="inlineStr">
        <is>
          <t>1</t>
        </is>
      </c>
      <c r="D40" s="9" t="inlineStr">
        <is>
          <t>BOOL</t>
        </is>
      </c>
      <c r="E40" s="9" t="inlineStr">
        <is>
          <t>SE 1 A NOTA FISCAL SO SAI APOS APROVACAO</t>
        </is>
      </c>
      <c r="F40" s="9" t="inlineStr">
        <is>
          <t>1</t>
        </is>
      </c>
      <c r="G40" s="9" t="inlineStr">
        <is>
          <t>PADRAO RECOMENDADO</t>
        </is>
      </c>
    </row>
    <row r="41" ht="20" customHeight="1">
      <c r="A41" s="9" t="inlineStr">
        <is>
          <t>FISCAL</t>
        </is>
      </c>
      <c r="B41" s="9" t="inlineStr">
        <is>
          <t>TEXTO NF MODO RESUMO</t>
        </is>
      </c>
      <c r="C41" s="9" t="inlineStr">
        <is>
          <t>ATIVO</t>
        </is>
      </c>
      <c r="D41" s="9" t="inlineStr">
        <is>
          <t>ENUM</t>
        </is>
      </c>
      <c r="E41" s="9" t="inlineStr">
        <is>
          <t>MODO RESUMO PARA NOTA MAIS ENXUTA</t>
        </is>
      </c>
      <c r="F41" s="9" t="inlineStr">
        <is>
          <t>ATIVO</t>
        </is>
      </c>
      <c r="G41" s="9" t="inlineStr">
        <is>
          <t>USAR PARA FISCAL PURO</t>
        </is>
      </c>
    </row>
    <row r="42" ht="20" customHeight="1">
      <c r="A42" s="9" t="inlineStr">
        <is>
          <t>FISCAL</t>
        </is>
      </c>
      <c r="B42" s="9" t="inlineStr">
        <is>
          <t>TEXTO NF MODO DETALHADO</t>
        </is>
      </c>
      <c r="C42" s="9" t="inlineStr">
        <is>
          <t>ATIVO</t>
        </is>
      </c>
      <c r="D42" s="9" t="inlineStr">
        <is>
          <t>ENUM</t>
        </is>
      </c>
      <c r="E42" s="9" t="inlineStr">
        <is>
          <t>MODO DETALHADO PARA REEMBOLSO OU AUDITORIA</t>
        </is>
      </c>
      <c r="F42" s="9" t="inlineStr">
        <is>
          <t>ATIVO</t>
        </is>
      </c>
      <c r="G42" s="9" t="inlineStr">
        <is>
          <t>PODE USAR QUANTIDADE FREQUENCIA E DURACAO</t>
        </is>
      </c>
    </row>
    <row r="43" ht="20" customHeight="1">
      <c r="A43" s="9" t="inlineStr">
        <is>
          <t>FISCAL</t>
        </is>
      </c>
      <c r="B43" s="9" t="inlineStr">
        <is>
          <t>DETECTAR TEXTO GENERICO PROIBIDO</t>
        </is>
      </c>
      <c r="C43" s="9" t="inlineStr">
        <is>
          <t>1</t>
        </is>
      </c>
      <c r="D43" s="9" t="inlineStr">
        <is>
          <t>BOOL</t>
        </is>
      </c>
      <c r="E43" s="9" t="inlineStr">
        <is>
          <t>SE 1 O SISTEMA REJEITA TERMOS GENÉRICOS</t>
        </is>
      </c>
      <c r="F43" s="9" t="inlineStr">
        <is>
          <t>1</t>
        </is>
      </c>
      <c r="G43" s="9" t="inlineStr">
        <is>
          <t>EX: SERVICOS PRESTADOS</t>
        </is>
      </c>
    </row>
    <row r="44" ht="20" customHeight="1">
      <c r="A44" s="9" t="inlineStr">
        <is>
          <t>FISCAL</t>
        </is>
      </c>
      <c r="B44" s="9" t="inlineStr">
        <is>
          <t>TRAVA FISCAL DADOS MINIMOS</t>
        </is>
      </c>
      <c r="C44" s="9" t="inlineStr">
        <is>
          <t>CPF + CODIGO + VALOR + PROCEDIMENTO</t>
        </is>
      </c>
      <c r="D44" s="9" t="inlineStr">
        <is>
          <t>RULE</t>
        </is>
      </c>
      <c r="E44" s="9" t="inlineStr">
        <is>
          <t>CAMPOS OBRIGATORIOS PARA EMISSAO</t>
        </is>
      </c>
      <c r="F44" s="9" t="inlineStr">
        <is>
          <t>CPF + CODIGO + VALOR + PROCEDIMENTO</t>
        </is>
      </c>
      <c r="G44" s="9" t="inlineStr">
        <is>
          <t>SEM ISSO BLOQUEIA</t>
        </is>
      </c>
    </row>
    <row r="45" ht="20" customHeight="1">
      <c r="A45" s="9" t="inlineStr">
        <is>
          <t>ARQUITETURA</t>
        </is>
      </c>
      <c r="B45" s="9" t="inlineStr">
        <is>
          <t>TENANT EMPRESA</t>
        </is>
      </c>
      <c r="C45" s="9" t="inlineStr">
        <is>
          <t>OBRIGATORIO</t>
        </is>
      </c>
      <c r="D45" s="9" t="inlineStr">
        <is>
          <t>RULE</t>
        </is>
      </c>
      <c r="E45" s="9" t="inlineStr">
        <is>
          <t>TODOS OS REGISTROS DEVEM SER VINCULADOS A EMPRESA</t>
        </is>
      </c>
      <c r="F45" s="9" t="inlineStr">
        <is>
          <t>EMP001</t>
        </is>
      </c>
      <c r="G45" s="9" t="inlineStr">
        <is>
          <t>MULTIEMPRESA</t>
        </is>
      </c>
    </row>
    <row r="46" ht="20" customHeight="1">
      <c r="A46" s="9" t="inlineStr">
        <is>
          <t>ARQUITETURA</t>
        </is>
      </c>
      <c r="B46" s="9" t="inlineStr">
        <is>
          <t>RESPONSAVEL TECNICO POR EMPRESA</t>
        </is>
      </c>
      <c r="C46" s="9" t="inlineStr">
        <is>
          <t>OBRIGATORIO</t>
        </is>
      </c>
      <c r="D46" s="9" t="inlineStr">
        <is>
          <t>RULE</t>
        </is>
      </c>
      <c r="E46" s="9" t="inlineStr">
        <is>
          <t>CADA TENANT PUXA PROFISSIONAL E DADOS FISCAIS PROPRIOS</t>
        </is>
      </c>
      <c r="F46" s="9" t="inlineStr">
        <is>
          <t>PROF001</t>
        </is>
      </c>
      <c r="G46" s="9" t="inlineStr">
        <is>
          <t>MULTIEMPRESA</t>
        </is>
      </c>
    </row>
    <row r="47" ht="20" customHeight="1">
      <c r="A47" s="9" t="inlineStr">
        <is>
          <t>ARQUITETURA</t>
        </is>
      </c>
      <c r="B47" s="9" t="inlineStr">
        <is>
          <t>VERSAO ATIVA DO MOTOR</t>
        </is>
      </c>
      <c r="C47" s="9" t="inlineStr">
        <is>
          <t>V15</t>
        </is>
      </c>
      <c r="D47" s="9" t="inlineStr">
        <is>
          <t>ENUM</t>
        </is>
      </c>
      <c r="E47" s="9" t="inlineStr">
        <is>
          <t>VERSAO QUE VALE PARA SAIDAS FINAIS</t>
        </is>
      </c>
      <c r="F47" s="9" t="inlineStr">
        <is>
          <t>V15</t>
        </is>
      </c>
      <c r="G47" s="9" t="inlineStr">
        <is>
          <t>GOVERNANCA DE VERSAO</t>
        </is>
      </c>
    </row>
    <row r="48">
      <c r="A48" t="inlineStr">
        <is>
          <t>PADRAO CODIGO</t>
        </is>
      </c>
      <c r="B48" t="inlineStr">
        <is>
          <t>NOMENCLATURA CODIGO PADRAO</t>
        </is>
      </c>
      <c r="C48" t="inlineStr">
        <is>
          <t>AAAA BBBB CCCC 000</t>
        </is>
      </c>
      <c r="D48" t="inlineStr">
        <is>
          <t>PADRAO</t>
        </is>
      </c>
      <c r="E48" t="inlineStr">
        <is>
          <t>CODIGOS INTERNOS E FISCAIS DEVEM USAR 4+4+4+3 EM MAIUSCULO SEM ACENTO</t>
        </is>
      </c>
      <c r="F48" t="inlineStr">
        <is>
          <t>FISC EXAM GUIA 001</t>
        </is>
      </c>
      <c r="G48" t="inlineStr">
        <is>
          <t>PADRAO SEMANTICO GLOBAL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4" customHeight="1">
      <c r="A1" s="6" t="inlineStr">
        <is>
          <t>HUMANO ENTENDER CONSOLIDADA</t>
        </is>
      </c>
    </row>
    <row r="2" ht="20" customHeight="1">
      <c r="A2" s="7" t="inlineStr">
        <is>
          <t>TRADUCAO OPERACIONAL DA LOGICA DO SAAS PARA SECRETARIA E EQUIPE</t>
        </is>
      </c>
    </row>
    <row r="3" ht="20" customHeight="1"/>
    <row r="4" ht="20" customHeight="1">
      <c r="A4" s="8" t="inlineStr">
        <is>
          <t>TEMA</t>
        </is>
      </c>
      <c r="B4" s="8" t="inlineStr">
        <is>
          <t>EXPLICACAO CURTA</t>
        </is>
      </c>
      <c r="C4" s="8" t="inlineStr">
        <is>
          <t>DECISAO RECOMENDADA</t>
        </is>
      </c>
      <c r="D4" s="8" t="inlineStr">
        <is>
          <t>MOTIVO</t>
        </is>
      </c>
      <c r="E4" s="8" t="inlineStr">
        <is>
          <t>RISCO SE MISTURAR</t>
        </is>
      </c>
    </row>
    <row r="5" ht="20" customHeight="1">
      <c r="A5" s="9" t="inlineStr">
        <is>
          <t>EDICAO POS RESPOSTA</t>
        </is>
      </c>
      <c r="B5" s="9" t="inlineStr">
        <is>
          <t>SE O QUESTIONARIO FOR EDITADO O MOTOR DEVE REPROCESSAR TUDO</t>
        </is>
      </c>
      <c r="C5" s="9" t="inlineStr">
        <is>
          <t>ATIVAR REPROCESSAMENTO AUTOMATICO</t>
        </is>
      </c>
      <c r="D5" s="9" t="inlineStr">
        <is>
          <t>EVITA CONTRATO E NF SAIREM COM DADOS ANTIGOS</t>
        </is>
      </c>
      <c r="E5" s="9" t="inlineStr">
        <is>
          <t>SEM ISSO O DOCUMENTO PODE FICAR DESALINHADO</t>
        </is>
      </c>
    </row>
    <row r="6" ht="20" customHeight="1">
      <c r="A6" s="9" t="inlineStr">
        <is>
          <t>VERSAO DO QUESTIONARIO</t>
        </is>
      </c>
      <c r="B6" s="9" t="inlineStr">
        <is>
          <t>SO UMA VERSAO DEVE VALER PARA PDF E NF</t>
        </is>
      </c>
      <c r="C6" s="9" t="inlineStr">
        <is>
          <t>USAR SEMPRE ULTIMA VERSAO APROVADA</t>
        </is>
      </c>
      <c r="D6" s="9" t="inlineStr">
        <is>
          <t>GARANTE RASTREABILIDADE</t>
        </is>
      </c>
      <c r="E6" s="9" t="inlineStr">
        <is>
          <t>VERSOES PARALELAS GERAM CONFLITO</t>
        </is>
      </c>
    </row>
    <row r="7" ht="20" customHeight="1">
      <c r="A7" s="9" t="inlineStr">
        <is>
          <t>MOTIVO DA EDICAO</t>
        </is>
      </c>
      <c r="B7" s="9" t="inlineStr">
        <is>
          <t>QUEM EDITA PRECISA DIZER O MOTIVO</t>
        </is>
      </c>
      <c r="C7" s="9" t="inlineStr">
        <is>
          <t>EXIGIR TEXTO CURTO NA ALTERACAO</t>
        </is>
      </c>
      <c r="D7" s="9" t="inlineStr">
        <is>
          <t>FACILITA AUDITORIA E DEFESA</t>
        </is>
      </c>
      <c r="E7" s="9" t="inlineStr">
        <is>
          <t>SEM MOTIVO FICA SEM PROVA OPERACIONAL</t>
        </is>
      </c>
    </row>
    <row r="8" ht="20" customHeight="1">
      <c r="A8" s="9" t="inlineStr">
        <is>
          <t>PLACEHOLDERS CONTRATUAIS</t>
        </is>
      </c>
      <c r="B8" s="9" t="inlineStr">
        <is>
          <t>CAMPOS DO CONTRATO DEVEM VIR DO CADASTRO E DO QUESTIONARIO</t>
        </is>
      </c>
      <c r="C8" s="9" t="inlineStr">
        <is>
          <t>MAPEAR PACIENTE EMPRESA PROFISSIONAL PROCEDIMENTO E VALOR</t>
        </is>
      </c>
      <c r="D8" s="9" t="inlineStr">
        <is>
          <t>PDF SAI PRONTO PARA GERACAO</t>
        </is>
      </c>
      <c r="E8" s="9" t="inlineStr">
        <is>
          <t>SE FALTAR UM CAMPO O CONTRATO QUEBRA</t>
        </is>
      </c>
    </row>
    <row r="9" ht="20" customHeight="1">
      <c r="A9" s="9" t="inlineStr">
        <is>
          <t>PLACEHOLDERS FISCAIS</t>
        </is>
      </c>
      <c r="B9" s="9" t="inlineStr">
        <is>
          <t>A NF DEVE RECEBER O MESMO PROCEDIMENTO APROVADO NO MOTOR</t>
        </is>
      </c>
      <c r="C9" s="9" t="inlineStr">
        <is>
          <t>TRAVAR ENVIO SEM CODIGO DE SERVICO E VALOR</t>
        </is>
      </c>
      <c r="D9" s="9" t="inlineStr">
        <is>
          <t>REDUZ ERRO NO BACKEND DE NF</t>
        </is>
      </c>
      <c r="E9" s="9" t="inlineStr">
        <is>
          <t>NF PODE SAIR ERRADA OU SER REJEITADA</t>
        </is>
      </c>
    </row>
    <row r="10" ht="20" customHeight="1">
      <c r="A10" s="9" t="inlineStr">
        <is>
          <t>DETECCAO DE CONTRADICAO</t>
        </is>
      </c>
      <c r="B10" s="9" t="inlineStr">
        <is>
          <t>A IA DEVE APONTAR RESPOSTAS INCOMPATIVEIS</t>
        </is>
      </c>
      <c r="C10" s="9" t="inlineStr">
        <is>
          <t>BLOQUEAR E ENVIAR PARA VALIDACAO HUMANA</t>
        </is>
      </c>
      <c r="D10" s="9" t="inlineStr">
        <is>
          <t>SEGURANCA CLINICA E JURIDICA</t>
        </is>
      </c>
      <c r="E10" s="9" t="inlineStr">
        <is>
          <t>SEM ISSO O MOTOR PODE OFERTAR ALGO INDEVIDO</t>
        </is>
      </c>
    </row>
    <row r="11" ht="20" customHeight="1">
      <c r="A11" s="9" t="inlineStr">
        <is>
          <t>DADOS OBRIGATORIOS</t>
        </is>
      </c>
      <c r="B11" s="9" t="inlineStr">
        <is>
          <t>CPF NOME PROCEDIMENTO E EMPRESA DEVEM EXISTIR</t>
        </is>
      </c>
      <c r="C11" s="9" t="inlineStr">
        <is>
          <t>CRIAR BLOQUEIO DURO PARA PDF E NF</t>
        </is>
      </c>
      <c r="D11" s="9" t="inlineStr">
        <is>
          <t>SEM BASE MINIMA NAO HA SAIDA SEGURA</t>
        </is>
      </c>
      <c r="E11" s="9" t="inlineStr">
        <is>
          <t>RISCO JURIDICO E FISCAL</t>
        </is>
      </c>
    </row>
    <row r="12" ht="20" customHeight="1">
      <c r="A12" s="9" t="inlineStr">
        <is>
          <t>ORIGEM UNICA DO DADO</t>
        </is>
      </c>
      <c r="B12" s="9" t="inlineStr">
        <is>
          <t>PACIENTE EMPRESA PROFISSIONAL E PROCEDIMENTO DEVEM TER FONTE OFICIAL</t>
        </is>
      </c>
      <c r="C12" s="9" t="inlineStr">
        <is>
          <t>EVITAR DIGITACAO DUPLA</t>
        </is>
      </c>
      <c r="D12" s="9" t="inlineStr">
        <is>
          <t>DIMINUI ERRO HUMANO</t>
        </is>
      </c>
      <c r="E12" s="9" t="inlineStr">
        <is>
          <t>DADOS DUPLOS SAEM DIFERENTES</t>
        </is>
      </c>
    </row>
    <row r="13" ht="20" customHeight="1">
      <c r="A13" s="9" t="inlineStr">
        <is>
          <t>MULTIEMPRESA</t>
        </is>
      </c>
      <c r="B13" s="9" t="inlineStr">
        <is>
          <t>CADA EMPRESA DEVE GERAR SEUS PROPRIOS DADOS E DOCUMENTOS</t>
        </is>
      </c>
      <c r="C13" s="9" t="inlineStr">
        <is>
          <t>PUXAR RODAPE EMISSOR E TITULOS DA BASE DA EMPRESA</t>
        </is>
      </c>
      <c r="D13" s="9" t="inlineStr">
        <is>
          <t>MANTEM ISOLAMENTO ENTRE TENANTS</t>
        </is>
      </c>
      <c r="E13" s="9" t="inlineStr">
        <is>
          <t>MISTURAR EMPRESAS QUEBRA CONTRATO E NF</t>
        </is>
      </c>
    </row>
    <row r="14" ht="20" customHeight="1">
      <c r="A14" s="9" t="inlineStr">
        <is>
          <t>PERFIS DE LIBERACAO</t>
        </is>
      </c>
      <c r="B14" s="9" t="inlineStr">
        <is>
          <t>NEM TODO MUNDO PODE GERAR DOCUMENTO FINAL</t>
        </is>
      </c>
      <c r="C14" s="9" t="inlineStr">
        <is>
          <t>DEIXAR APROVACAO FINAL COM PERFIS CLINICOS/FISCAIS DEFINIDOS</t>
        </is>
      </c>
      <c r="D14" s="9" t="inlineStr">
        <is>
          <t>GOVERNANCA</t>
        </is>
      </c>
      <c r="E14" s="9" t="inlineStr">
        <is>
          <t>SEM TRAVA QUALQUER PERFIL DISPARA SAIDA</t>
        </is>
      </c>
    </row>
    <row r="15" ht="20" customHeight="1">
      <c r="A15" s="9" t="inlineStr">
        <is>
          <t>LOG DOCUMENTAL</t>
        </is>
      </c>
      <c r="B15" s="9" t="inlineStr">
        <is>
          <t>CADA PDF E CADA PAYLOAD NF DEVEM APONTAR PARA A VERSAO QUE GEROU</t>
        </is>
      </c>
      <c r="C15" s="9" t="inlineStr">
        <is>
          <t>GRAVAR ID DA VERSAO E TIMESTAMP</t>
        </is>
      </c>
      <c r="D15" s="9" t="inlineStr">
        <is>
          <t>PROVA DE ORIGEM</t>
        </is>
      </c>
      <c r="E15" s="9" t="inlineStr">
        <is>
          <t>SEM LOG FICA IMPOSSIVEL AUDITAR</t>
        </is>
      </c>
    </row>
    <row r="16" ht="20" customHeight="1">
      <c r="A16" s="9" t="inlineStr">
        <is>
          <t>TESTES SEMANTICOS</t>
        </is>
      </c>
      <c r="B16" s="9" t="inlineStr">
        <is>
          <t>ANTES DE SUBIR PARA O SISTEMA TESTAR CASOS REAIS E CASOS DE ERRO</t>
        </is>
      </c>
      <c r="C16" s="9" t="inlineStr">
        <is>
          <t>USAR A ABA TESTES_SEMANTICOS_APPEND</t>
        </is>
      </c>
      <c r="D16" s="9" t="inlineStr">
        <is>
          <t>VALIDA O MOTOR ANTES DO DEPLOY</t>
        </is>
      </c>
      <c r="E16" s="9" t="inlineStr">
        <is>
          <t>SEM TESTE O ERRO VAI PARA PRODUCAO</t>
        </is>
      </c>
    </row>
    <row r="17" ht="20" customHeight="1">
      <c r="A17" s="9" t="n"/>
      <c r="B17" s="9" t="n"/>
      <c r="C17" s="9" t="n"/>
      <c r="D17" s="9" t="n"/>
      <c r="E17" s="9" t="n"/>
    </row>
    <row r="18" ht="20" customHeight="1">
      <c r="A18" s="9" t="inlineStr">
        <is>
          <t>TOGGLES</t>
        </is>
      </c>
      <c r="B18" s="9" t="inlineStr">
        <is>
          <t>CADA PROCEDIMENTO PODE EXIGIR OU NAO UM VALIDADOR</t>
        </is>
      </c>
      <c r="C18" s="9" t="inlineStr">
        <is>
          <t>PARAMETRIZAR POR TIPO DE PROCEDIMENTO</t>
        </is>
      </c>
      <c r="D18" s="9" t="inlineStr">
        <is>
          <t>DEIXA O SISTEMA FLEXIVEL</t>
        </is>
      </c>
      <c r="E18" s="9" t="inlineStr">
        <is>
          <t>SE FOR FIXO O FLUXO FICA ENGESSADO</t>
        </is>
      </c>
    </row>
    <row r="19" ht="20" customHeight="1">
      <c r="A19" s="9" t="inlineStr">
        <is>
          <t>BYPASS</t>
        </is>
      </c>
      <c r="B19" s="9" t="inlineStr">
        <is>
          <t>O MEDICO ADMINISTRADOR PODE PULAR UMA ETAPA QUANDO O SISTEMA PERMITIR</t>
        </is>
      </c>
      <c r="C19" s="9" t="inlineStr">
        <is>
          <t>EXIGIR JUSTIFICATIVA E LOG</t>
        </is>
      </c>
      <c r="D19" s="9" t="inlineStr">
        <is>
          <t>MANTEM CONTROLE SEM TRAVAR OPERACAO</t>
        </is>
      </c>
      <c r="E19" s="9" t="inlineStr">
        <is>
          <t>SEM LOG GERA RISCO JURIDICO</t>
        </is>
      </c>
    </row>
    <row r="20" ht="20" customHeight="1">
      <c r="A20" s="9" t="inlineStr">
        <is>
          <t>CENTRAL DE ACIONAMENTO</t>
        </is>
      </c>
      <c r="B20" s="9" t="inlineStr">
        <is>
          <t>O SISTEMA PRECISA MOSTRAR QUEM ESTA PENDENTE</t>
        </is>
      </c>
      <c r="C20" s="9" t="inlineStr">
        <is>
          <t>CRIAR FILA DE TAREFAS COM STATUS</t>
        </is>
      </c>
      <c r="D20" s="9" t="inlineStr">
        <is>
          <t>FACILITA GESTAO E COBRANCA DE TEMPO</t>
        </is>
      </c>
      <c r="E20" s="9" t="inlineStr">
        <is>
          <t>SEM ISSO FICA TUDO ESPALHADO</t>
        </is>
      </c>
    </row>
    <row r="21" ht="20" customHeight="1">
      <c r="A21" s="9" t="inlineStr">
        <is>
          <t>PAGAMENTO</t>
        </is>
      </c>
      <c r="B21" s="9" t="inlineStr">
        <is>
          <t>A NOTA SO DEVE SAIR QUANDO O GATEWAY CONFIRMAR</t>
        </is>
      </c>
      <c r="C21" s="9" t="inlineStr">
        <is>
          <t>NORMALIZAR STATUS DOS GATEWAYS</t>
        </is>
      </c>
      <c r="D21" s="9" t="inlineStr">
        <is>
          <t>EVITA NOTA ERRADA OU PREMATURA</t>
        </is>
      </c>
      <c r="E21" s="9" t="inlineStr">
        <is>
          <t>PAGAMENTO PENDENTE NAO DEVE LIBERAR NF</t>
        </is>
      </c>
    </row>
    <row r="22" ht="20" customHeight="1">
      <c r="A22" s="9" t="inlineStr">
        <is>
          <t>NOTA FISCAL</t>
        </is>
      </c>
      <c r="B22" s="9" t="inlineStr">
        <is>
          <t>A DESCRICAO DEVE COMEÇAR COM HONORARIOS MEDICOS REFERENTES A</t>
        </is>
      </c>
      <c r="C22" s="9" t="inlineStr">
        <is>
          <t>PADRONIZAR TEMPLATES POR PROCEDIMENTO</t>
        </is>
      </c>
      <c r="D22" s="9" t="inlineStr">
        <is>
          <t>MELHORA COERENCIA CLINICA E FISCAL</t>
        </is>
      </c>
      <c r="E22" s="9" t="inlineStr">
        <is>
          <t>TEXTOS GENERICOS GERAM REJEICAO OU RUIDO</t>
        </is>
      </c>
    </row>
    <row r="23" ht="20" customHeight="1">
      <c r="A23" s="9" t="inlineStr">
        <is>
          <t>MULTIEMPRESA</t>
        </is>
      </c>
      <c r="B23" s="9" t="inlineStr">
        <is>
          <t>CADA EMPRESA DEVE TER EMISSOR, RESPONSAVEL E DADOS FISCAIS PROPRIOS</t>
        </is>
      </c>
      <c r="C23" s="9" t="inlineStr">
        <is>
          <t>ISOLAR POR TENANT</t>
        </is>
      </c>
      <c r="D23" s="9" t="inlineStr">
        <is>
          <t>ESCALA COM SEGURANCA</t>
        </is>
      </c>
      <c r="E23" s="9" t="inlineStr">
        <is>
          <t>SE MISTURAR EMPRESAS A GOVERNANCA QUEBRA</t>
        </is>
      </c>
    </row>
    <row r="24" ht="20" customHeight="1">
      <c r="A24" s="9" t="inlineStr">
        <is>
          <t>AUDITORIA</t>
        </is>
      </c>
      <c r="B24" s="9" t="inlineStr">
        <is>
          <t>QUALQUER EDICAO, BYPASS OU TROCA DE PROFISSIONAL DEVE FICAR REGISTRADA</t>
        </is>
      </c>
      <c r="C24" s="9" t="inlineStr">
        <is>
          <t>GRAVAR USUARIO DATA HORA MOTIVO</t>
        </is>
      </c>
      <c r="D24" s="9" t="inlineStr">
        <is>
          <t>FACILITA DEFESA E SUPORTE</t>
        </is>
      </c>
      <c r="E24" s="9" t="inlineStr">
        <is>
          <t>SEM RASTRO FICA FRAGIL</t>
        </is>
      </c>
    </row>
    <row r="25" ht="20" customHeight="1">
      <c r="A25" s="9" t="inlineStr">
        <is>
          <t>REEMBOLSO</t>
        </is>
      </c>
      <c r="B25" s="9" t="inlineStr">
        <is>
          <t>O TEXTO DETALHADO DA NF PODE TRAZER QUANTIDADE FREQUENCIA E DURACAO QUANDO NECESSARIO</t>
        </is>
      </c>
      <c r="C25" s="9" t="inlineStr">
        <is>
          <t>USAR MODO DETALHADO SOMENTE QUANDO FIZER SENTIDO</t>
        </is>
      </c>
      <c r="D25" s="9" t="inlineStr">
        <is>
          <t>AJUDA IDENTIFICACAO POR OPERADORA</t>
        </is>
      </c>
      <c r="E25" s="9" t="inlineStr">
        <is>
          <t>DETALHE EXCESSIVO PODE GERAR RUIDO</t>
        </is>
      </c>
    </row>
    <row r="26">
      <c r="A26" t="inlineStr">
        <is>
          <t>PADRAO DE CODIGOS</t>
        </is>
      </c>
      <c r="B26" t="inlineStr">
        <is>
          <t>TODOS OS CODIGOS INTERNOS FISCAIS E DE REGRA DEVEM SEGUIR 4 CARACTERES + 4 CARACTERES + 4 CARACTERES + 3 DIGITOS</t>
        </is>
      </c>
      <c r="C26" t="inlineStr">
        <is>
          <t>USAR CODIGO SEMANTICO PADRONIZADO</t>
        </is>
      </c>
      <c r="D26" t="inlineStr">
        <is>
          <t>FACILITA BUSCA AUDITORIA E ESCALA MULTIEMPRESA</t>
        </is>
      </c>
      <c r="E26" t="inlineStr">
        <is>
          <t>CODIGO FORA DO PADRAO GERA CONFUSAO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22" customHeight="1">
      <c r="A1" s="10" t="inlineStr">
        <is>
          <t>PACOTE APPEND-ONLY PARA INCORPORACAO MANUAL NO MOTOR CLINICO</t>
        </is>
      </c>
      <c r="B1" s="11" t="inlineStr"/>
      <c r="C1" s="11" t="inlineStr"/>
    </row>
    <row r="2" ht="20" customHeight="1">
      <c r="A2" s="12" t="inlineStr">
        <is>
          <t>ARQUIVO-BASE ANALISADO</t>
        </is>
      </c>
      <c r="B2" s="12" t="inlineStr">
        <is>
          <t>PADCOM SAAS MOTOR CLINICO V14.1 (AUDITORIA SEMANTICA E TOGGLES).xlsx</t>
        </is>
      </c>
      <c r="C2" s="12" t="inlineStr">
        <is>
          <t>https://drive.google.com/file/d/102EqKuj4SKKmonMYH80ETVf2PUcVRFLM</t>
        </is>
      </c>
    </row>
    <row r="3" ht="20" customHeight="1">
      <c r="A3" s="12" t="inlineStr">
        <is>
          <t>ULTIMA DATA IDENTIFICADA</t>
        </is>
      </c>
      <c r="B3" s="12" t="inlineStr">
        <is>
          <t>2026-04-03 11:56:54Z</t>
        </is>
      </c>
      <c r="C3" s="12" t="inlineStr"/>
    </row>
    <row r="4" ht="20" customHeight="1">
      <c r="A4" s="12" t="inlineStr">
        <is>
          <t>NOME SUGERIDO DA PROXIMA VERSAO</t>
        </is>
      </c>
      <c r="B4" s="12" t="inlineStr">
        <is>
          <t>PADCOM SAAS MOTOR CLINICO V14.2 (QUESTIONARIO CONTRATOS NF PLACEHOLDERS)</t>
        </is>
      </c>
      <c r="C4" s="12" t="inlineStr"/>
    </row>
    <row r="5" ht="20" customHeight="1">
      <c r="A5" s="12" t="inlineStr">
        <is>
          <t>COMO USAR</t>
        </is>
      </c>
      <c r="B5" s="12" t="inlineStr">
        <is>
          <t>1) COPIAR SOMENTE AS LINHAS DA ABA 'APPEND_BLUEPRINT_IA' E COLAR ABAIXO DA ULTIMA LINHA DA ABA IA EXISTENTE. 2) COPIAR SOMENTE AS LINHAS DA ABA 'APPEND_LEGENDA_HUMANA' E COLAR ABAIXO DA ULTIMA LINHA DA ABA HUMANA EXISTENTE. 3) USAR 'TESTES_SEMANTICOS_APPEND' COMO CHECKLIST DE VALIDACAO.</t>
        </is>
      </c>
      <c r="C5" s="12" t="inlineStr"/>
    </row>
    <row r="6" ht="20" customHeight="1">
      <c r="A6" s="12" t="inlineStr">
        <is>
          <t>LIMITACAO TECNICA</t>
        </is>
      </c>
      <c r="B6" s="12" t="inlineStr">
        <is>
          <t>ESTE ARQUIVO NAO SUBSTITUI O WORKBOOK ORIGINAL. ELE FOI GERADO COMO PACOTE DE APPEND PARA COPIAR/COLAR PORQUE O ARQUIVO BINARIO ORIGINAL NO DRIVE CONECTADO NAO FOI DISPONIBILIZADO AQUI PARA EDICAO DIRETA.</t>
        </is>
      </c>
      <c r="C6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2" customWidth="1" min="3" max="3"/>
    <col width="12" customWidth="1" min="4" max="4"/>
    <col width="42" customWidth="1" min="5" max="5"/>
    <col width="33" customWidth="1" min="6" max="6"/>
    <col width="42" customWidth="1" min="7" max="7"/>
  </cols>
  <sheetData>
    <row r="1" ht="22" customHeight="1">
      <c r="A1" s="13" t="inlineStr">
        <is>
          <t>BLOCO</t>
        </is>
      </c>
      <c r="B1" s="13" t="inlineStr">
        <is>
          <t>CHAVE</t>
        </is>
      </c>
      <c r="C1" s="13" t="inlineStr">
        <is>
          <t>VALOR</t>
        </is>
      </c>
      <c r="D1" s="13" t="inlineStr">
        <is>
          <t>TIPO</t>
        </is>
      </c>
      <c r="E1" s="13" t="inlineStr">
        <is>
          <t>LEITURA IA</t>
        </is>
      </c>
      <c r="F1" s="13" t="inlineStr">
        <is>
          <t>EXEMPLO</t>
        </is>
      </c>
      <c r="G1" s="13" t="inlineStr">
        <is>
          <t>OBS</t>
        </is>
      </c>
    </row>
    <row r="2" ht="20" customHeight="1">
      <c r="A2" s="12" t="inlineStr">
        <is>
          <t>QUESTIONARIO</t>
        </is>
      </c>
      <c r="B2" s="12" t="inlineStr">
        <is>
          <t>PERMITE EDICAO POS RESPOSTA</t>
        </is>
      </c>
      <c r="C2" s="12" t="inlineStr">
        <is>
          <t>1</t>
        </is>
      </c>
      <c r="D2" s="12" t="inlineStr">
        <is>
          <t>BOOL</t>
        </is>
      </c>
      <c r="E2" s="12" t="inlineStr">
        <is>
          <t>SE 1 O QUESTIONARIO PODE SER REABERTO E REPROCESSADO</t>
        </is>
      </c>
      <c r="F2" s="12" t="inlineStr">
        <is>
          <t>1</t>
        </is>
      </c>
      <c r="G2" s="12" t="inlineStr">
        <is>
          <t>NAO APAGA VERSAO ANTERIOR</t>
        </is>
      </c>
    </row>
    <row r="3" ht="20" customHeight="1">
      <c r="A3" s="12" t="inlineStr">
        <is>
          <t>QUESTIONARIO</t>
        </is>
      </c>
      <c r="B3" s="12" t="inlineStr">
        <is>
          <t>REPROCESSAR MOTOR AO EDITAR</t>
        </is>
      </c>
      <c r="C3" s="12" t="inlineStr">
        <is>
          <t>1</t>
        </is>
      </c>
      <c r="D3" s="12" t="inlineStr">
        <is>
          <t>BOOL</t>
        </is>
      </c>
      <c r="E3" s="12" t="inlineStr">
        <is>
          <t>SE 1 TODA EDICAO REATIVA MATCH SEMANTICO E SAIDAS</t>
        </is>
      </c>
      <c r="F3" s="12" t="inlineStr">
        <is>
          <t>1</t>
        </is>
      </c>
      <c r="G3" s="12" t="inlineStr">
        <is>
          <t>CORE DO MOTOR CLINICO</t>
        </is>
      </c>
    </row>
    <row r="4" ht="20" customHeight="1">
      <c r="A4" s="12" t="inlineStr">
        <is>
          <t>QUESTIONARIO</t>
        </is>
      </c>
      <c r="B4" s="12" t="inlineStr">
        <is>
          <t>VERSAO RESPOSTA</t>
        </is>
      </c>
      <c r="C4" s="12" t="inlineStr">
        <is>
          <t>ATIVA</t>
        </is>
      </c>
      <c r="D4" s="12" t="inlineStr">
        <is>
          <t>ENUM</t>
        </is>
      </c>
      <c r="E4" s="12" t="inlineStr">
        <is>
          <t>MARCA QUAL E A VERSAO VALIDA PARA DOCUMENTOS E NF</t>
        </is>
      </c>
      <c r="F4" s="12" t="inlineStr">
        <is>
          <t>V1 / V2 / V3</t>
        </is>
      </c>
      <c r="G4" s="12" t="inlineStr">
        <is>
          <t>ULTIMA VERSAO APROVADA</t>
        </is>
      </c>
    </row>
    <row r="5" ht="20" customHeight="1">
      <c r="A5" s="12" t="inlineStr">
        <is>
          <t>QUESTIONARIO</t>
        </is>
      </c>
      <c r="B5" s="12" t="inlineStr">
        <is>
          <t>REGISTRAR DATA HORA EDICAO</t>
        </is>
      </c>
      <c r="C5" s="12" t="inlineStr">
        <is>
          <t>1</t>
        </is>
      </c>
      <c r="D5" s="12" t="inlineStr">
        <is>
          <t>BOOL</t>
        </is>
      </c>
      <c r="E5" s="12" t="inlineStr">
        <is>
          <t>GRAVA TIMESTAMP DA EDICAO</t>
        </is>
      </c>
      <c r="F5" s="12" t="inlineStr">
        <is>
          <t>1</t>
        </is>
      </c>
      <c r="G5" s="12" t="inlineStr">
        <is>
          <t>AUDITORIA</t>
        </is>
      </c>
    </row>
    <row r="6" ht="20" customHeight="1">
      <c r="A6" s="12" t="inlineStr">
        <is>
          <t>QUESTIONARIO</t>
        </is>
      </c>
      <c r="B6" s="12" t="inlineStr">
        <is>
          <t>REGISTRAR USUARIO EDICAO</t>
        </is>
      </c>
      <c r="C6" s="12" t="inlineStr">
        <is>
          <t>1</t>
        </is>
      </c>
      <c r="D6" s="12" t="inlineStr">
        <is>
          <t>BOOL</t>
        </is>
      </c>
      <c r="E6" s="12" t="inlineStr">
        <is>
          <t>GRAVA QUEM ALTEROU A RESPOSTA</t>
        </is>
      </c>
      <c r="F6" s="12" t="inlineStr">
        <is>
          <t>SECRETARIA / MEDICO / VALIDADOR</t>
        </is>
      </c>
      <c r="G6" s="12" t="inlineStr">
        <is>
          <t>AUDITORIA</t>
        </is>
      </c>
    </row>
    <row r="7" ht="20" customHeight="1">
      <c r="A7" s="12" t="inlineStr">
        <is>
          <t>QUESTIONARIO</t>
        </is>
      </c>
      <c r="B7" s="12" t="inlineStr">
        <is>
          <t>REGISTRAR MOTIVO EDICAO</t>
        </is>
      </c>
      <c r="C7" s="12" t="inlineStr">
        <is>
          <t>1</t>
        </is>
      </c>
      <c r="D7" s="12" t="inlineStr">
        <is>
          <t>BOOL</t>
        </is>
      </c>
      <c r="E7" s="12" t="inlineStr">
        <is>
          <t>EXIGE MOTIVO CURTO AO ALTERAR RESPOSTA</t>
        </is>
      </c>
      <c r="F7" s="12" t="inlineStr">
        <is>
          <t>CORRECAO CADASTRAL</t>
        </is>
      </c>
      <c r="G7" s="12" t="inlineStr">
        <is>
          <t>RECOMENDADO</t>
        </is>
      </c>
    </row>
    <row r="8" ht="20" customHeight="1">
      <c r="A8" s="14" t="inlineStr">
        <is>
          <t>SEMANTICA</t>
        </is>
      </c>
      <c r="B8" s="14" t="inlineStr">
        <is>
          <t>NORMALIZAR TEXTO LIVRE</t>
        </is>
      </c>
      <c r="C8" s="14" t="inlineStr">
        <is>
          <t>1</t>
        </is>
      </c>
      <c r="D8" s="14" t="inlineStr">
        <is>
          <t>BOOL</t>
        </is>
      </c>
      <c r="E8" s="14" t="inlineStr">
        <is>
          <t>CONVERTE QUEIXA / SINTOMA LIVRE EM CODIGOS PADRONIZADOS</t>
        </is>
      </c>
      <c r="F8" s="14" t="inlineStr">
        <is>
          <t>1</t>
        </is>
      </c>
      <c r="G8" s="14" t="inlineStr">
        <is>
          <t>ANTES DOS PLACEHOLDERS</t>
        </is>
      </c>
    </row>
    <row r="9" ht="20" customHeight="1">
      <c r="A9" s="14" t="inlineStr">
        <is>
          <t>SEMANTICA</t>
        </is>
      </c>
      <c r="B9" s="14" t="inlineStr">
        <is>
          <t>DETECTAR CONTRADICAO CLINICA</t>
        </is>
      </c>
      <c r="C9" s="14" t="inlineStr">
        <is>
          <t>1</t>
        </is>
      </c>
      <c r="D9" s="14" t="inlineStr">
        <is>
          <t>BOOL</t>
        </is>
      </c>
      <c r="E9" s="14" t="inlineStr">
        <is>
          <t>SINALIZA COMBINACOES INCONSISTENTES</t>
        </is>
      </c>
      <c r="F9" s="14" t="inlineStr">
        <is>
          <t>GRAVIDEZ + SEXO MASCULINO</t>
        </is>
      </c>
      <c r="G9" s="14" t="inlineStr">
        <is>
          <t>BLOQUEAR ATE VALIDACAO</t>
        </is>
      </c>
    </row>
    <row r="10" ht="20" customHeight="1">
      <c r="A10" s="14" t="inlineStr">
        <is>
          <t>SEMANTICA</t>
        </is>
      </c>
      <c r="B10" s="14" t="inlineStr">
        <is>
          <t>DETECTAR DADO OBRIGATORIO AUSENTE</t>
        </is>
      </c>
      <c r="C10" s="14" t="inlineStr">
        <is>
          <t>1</t>
        </is>
      </c>
      <c r="D10" s="14" t="inlineStr">
        <is>
          <t>BOOL</t>
        </is>
      </c>
      <c r="E10" s="14" t="inlineStr">
        <is>
          <t>NAO GERA DOCUMENTO SE FALTAR CAMPO CRITICO</t>
        </is>
      </c>
      <c r="F10" s="14" t="inlineStr">
        <is>
          <t>CPF VAZIO</t>
        </is>
      </c>
      <c r="G10" s="14" t="inlineStr">
        <is>
          <t>BLOQUEIO JURIDICO/FISCAL</t>
        </is>
      </c>
    </row>
    <row r="11" ht="20" customHeight="1">
      <c r="A11" s="14" t="inlineStr">
        <is>
          <t>MOTOR</t>
        </is>
      </c>
      <c r="B11" s="14" t="inlineStr">
        <is>
          <t>GERAR PLACEHOLDERS CONTRATO</t>
        </is>
      </c>
      <c r="C11" s="14" t="inlineStr">
        <is>
          <t>1</t>
        </is>
      </c>
      <c r="D11" s="14" t="inlineStr">
        <is>
          <t>BOOL</t>
        </is>
      </c>
      <c r="E11" s="14" t="inlineStr">
        <is>
          <t>MONTA OBJETO PARA PDF DE CONTRATO / CONSENTIMENTO</t>
        </is>
      </c>
      <c r="F11" s="14" t="inlineStr">
        <is>
          <t>1</t>
        </is>
      </c>
      <c r="G11" s="14" t="inlineStr">
        <is>
          <t>SAIDA DOCUMENTAL</t>
        </is>
      </c>
    </row>
    <row r="12" ht="20" customHeight="1">
      <c r="A12" s="14" t="inlineStr">
        <is>
          <t>MOTOR</t>
        </is>
      </c>
      <c r="B12" s="14" t="inlineStr">
        <is>
          <t>GERAR PLACEHOLDERS NF</t>
        </is>
      </c>
      <c r="C12" s="14" t="inlineStr">
        <is>
          <t>1</t>
        </is>
      </c>
      <c r="D12" s="14" t="inlineStr">
        <is>
          <t>BOOL</t>
        </is>
      </c>
      <c r="E12" s="14" t="inlineStr">
        <is>
          <t>MONTA OBJETO PARA BACKEND FISCAL</t>
        </is>
      </c>
      <c r="F12" s="14" t="inlineStr">
        <is>
          <t>1</t>
        </is>
      </c>
      <c r="G12" s="14" t="inlineStr">
        <is>
          <t>SAIDA FISCAL</t>
        </is>
      </c>
    </row>
    <row r="13" ht="20" customHeight="1">
      <c r="A13" s="14" t="inlineStr">
        <is>
          <t>MOTOR</t>
        </is>
      </c>
      <c r="B13" s="14" t="inlineStr">
        <is>
          <t>GERAR LOG AUDITORIA DOCUMENTAL</t>
        </is>
      </c>
      <c r="C13" s="14" t="inlineStr">
        <is>
          <t>1</t>
        </is>
      </c>
      <c r="D13" s="14" t="inlineStr">
        <is>
          <t>BOOL</t>
        </is>
      </c>
      <c r="E13" s="14" t="inlineStr">
        <is>
          <t>REGISTRA QUAL RESPOSTA GEROU QUAL DOCUMENTO</t>
        </is>
      </c>
      <c r="F13" s="14" t="inlineStr">
        <is>
          <t>1</t>
        </is>
      </c>
      <c r="G13" s="14" t="inlineStr">
        <is>
          <t>TRILHA DE PROVA</t>
        </is>
      </c>
    </row>
    <row r="14" ht="20" customHeight="1">
      <c r="A14" s="12" t="inlineStr">
        <is>
          <t>PLACEHOLDERS</t>
        </is>
      </c>
      <c r="B14" s="12" t="inlineStr">
        <is>
          <t>CAMPOS CONTRATO OBRIGATORIOS</t>
        </is>
      </c>
      <c r="C14" s="12" t="inlineStr">
        <is>
          <t>PACIENTE|CPF|PROCEDIMENTO|EMPRESA|PROFISSIONAL|VALOR</t>
        </is>
      </c>
      <c r="D14" s="12" t="inlineStr">
        <is>
          <t>ENUM LIST</t>
        </is>
      </c>
      <c r="E14" s="12" t="inlineStr">
        <is>
          <t>SEM ESSES CAMPOS O PDF CONTRATUAL FICA BLOQUEADO</t>
        </is>
      </c>
      <c r="F14" s="12" t="inlineStr">
        <is>
          <t>PACIENTE|CPF|PROCEDIMENTO</t>
        </is>
      </c>
      <c r="G14" s="12" t="inlineStr">
        <is>
          <t>MINIMO JURIDICO OPERACIONAL</t>
        </is>
      </c>
    </row>
    <row r="15" ht="20" customHeight="1">
      <c r="A15" s="12" t="inlineStr">
        <is>
          <t>PLACEHOLDERS</t>
        </is>
      </c>
      <c r="B15" s="12" t="inlineStr">
        <is>
          <t>CAMPOS NF OBRIGATORIOS</t>
        </is>
      </c>
      <c r="C15" s="12" t="inlineStr">
        <is>
          <t>TOMADOR|CPF/CNPJ|SERVICO|CODIGO SERVICO|VALOR|MUNICIPIO</t>
        </is>
      </c>
      <c r="D15" s="12" t="inlineStr">
        <is>
          <t>ENUM LIST</t>
        </is>
      </c>
      <c r="E15" s="12" t="inlineStr">
        <is>
          <t>SEM ESSES CAMPOS O PAYLOAD FISCAL FICA BLOQUEADO</t>
        </is>
      </c>
      <c r="F15" s="12" t="inlineStr">
        <is>
          <t>SERVICO|VALOR|MUNICIPIO</t>
        </is>
      </c>
      <c r="G15" s="12" t="inlineStr">
        <is>
          <t>MINIMO FISCAL</t>
        </is>
      </c>
    </row>
    <row r="16" ht="20" customHeight="1">
      <c r="A16" s="12" t="inlineStr">
        <is>
          <t>PLACEHOLDERS</t>
        </is>
      </c>
      <c r="B16" s="12" t="inlineStr">
        <is>
          <t>ORIGEM DADOS PACIENTE</t>
        </is>
      </c>
      <c r="C16" s="12" t="inlineStr">
        <is>
          <t>PACIENTES + QUESTIONARIO</t>
        </is>
      </c>
      <c r="D16" s="12" t="inlineStr">
        <is>
          <t>TEXT</t>
        </is>
      </c>
      <c r="E16" s="12" t="inlineStr">
        <is>
          <t>DADOS VEM DO CADASTRO E DA VERSAO ATIVA DO QUESTIONARIO</t>
        </is>
      </c>
      <c r="F16" s="12" t="inlineStr">
        <is>
          <t>PACIENTES + QUESTIONARIO</t>
        </is>
      </c>
      <c r="G16" s="12" t="inlineStr">
        <is>
          <t>NAO DUPLICAR FONTE</t>
        </is>
      </c>
    </row>
    <row r="17" ht="20" customHeight="1">
      <c r="A17" s="12" t="inlineStr">
        <is>
          <t>PLACEHOLDERS</t>
        </is>
      </c>
      <c r="B17" s="12" t="inlineStr">
        <is>
          <t>ORIGEM DADOS EMPRESA</t>
        </is>
      </c>
      <c r="C17" s="12" t="inlineStr">
        <is>
          <t>EMPRESAS / UNIDADES</t>
        </is>
      </c>
      <c r="D17" s="12" t="inlineStr">
        <is>
          <t>TEXT</t>
        </is>
      </c>
      <c r="E17" s="12" t="inlineStr">
        <is>
          <t>EMISSOR E RODAPE CONTRATUAL SAEM DA BASE DA EMPRESA</t>
        </is>
      </c>
      <c r="F17" s="12" t="inlineStr">
        <is>
          <t>EMP001</t>
        </is>
      </c>
      <c r="G17" s="12" t="inlineStr">
        <is>
          <t>MULTIEMPRESA</t>
        </is>
      </c>
    </row>
    <row r="18" ht="20" customHeight="1">
      <c r="A18" s="12" t="inlineStr">
        <is>
          <t>PLACEHOLDERS</t>
        </is>
      </c>
      <c r="B18" s="12" t="inlineStr">
        <is>
          <t>ORIGEM DADOS PROFISSIONAL</t>
        </is>
      </c>
      <c r="C18" s="12" t="inlineStr">
        <is>
          <t>PROFISSIONAIS</t>
        </is>
      </c>
      <c r="D18" s="12" t="inlineStr">
        <is>
          <t>TEXT</t>
        </is>
      </c>
      <c r="E18" s="12" t="inlineStr">
        <is>
          <t>ASSINATURA E RESPONSAVEL TECNICO SAEM DA BASE PROFISSIONAIS</t>
        </is>
      </c>
      <c r="F18" s="12" t="inlineStr">
        <is>
          <t>PROF001</t>
        </is>
      </c>
      <c r="G18" s="12" t="inlineStr">
        <is>
          <t>MULTIPERFIL</t>
        </is>
      </c>
    </row>
    <row r="19" ht="20" customHeight="1">
      <c r="A19" s="12" t="inlineStr">
        <is>
          <t>PLACEHOLDERS</t>
        </is>
      </c>
      <c r="B19" s="12" t="inlineStr">
        <is>
          <t>ORIGEM DADOS PROCEDIMENTO</t>
        </is>
      </c>
      <c r="C19" s="12" t="inlineStr">
        <is>
          <t>BASE EXAMES MOTOR / PROTOCOLOS / FORMULAS</t>
        </is>
      </c>
      <c r="D19" s="12" t="inlineStr">
        <is>
          <t>TEXT</t>
        </is>
      </c>
      <c r="E19" s="12" t="inlineStr">
        <is>
          <t>ITEM FISCAL E TEXTO CONTRATUAL DEVEM VIR DO ITEM APROVADO</t>
        </is>
      </c>
      <c r="F19" s="12" t="inlineStr">
        <is>
          <t>EXAM TIRE DIAG 001</t>
        </is>
      </c>
      <c r="G19" s="12" t="inlineStr">
        <is>
          <t>USAR CODIGO PADCOM</t>
        </is>
      </c>
    </row>
    <row r="20" ht="20" customHeight="1">
      <c r="A20" s="14" t="inlineStr">
        <is>
          <t>JURIDICO</t>
        </is>
      </c>
      <c r="B20" s="14" t="inlineStr">
        <is>
          <t>BLOQUEAR CONTRATO SEM VALIDACAO</t>
        </is>
      </c>
      <c r="C20" s="14" t="inlineStr">
        <is>
          <t>1</t>
        </is>
      </c>
      <c r="D20" s="14" t="inlineStr">
        <is>
          <t>BOOL</t>
        </is>
      </c>
      <c r="E20" s="14" t="inlineStr">
        <is>
          <t>NAO GERA PDF FINAL SE CASO EXIGIR VALIDACAO E ELA NAO EXISTIR</t>
        </is>
      </c>
      <c r="F20" s="14" t="inlineStr">
        <is>
          <t>1</t>
        </is>
      </c>
      <c r="G20" s="14" t="inlineStr">
        <is>
          <t>GOVERNANCA</t>
        </is>
      </c>
    </row>
    <row r="21" ht="20" customHeight="1">
      <c r="A21" s="14" t="inlineStr">
        <is>
          <t>FISCAL</t>
        </is>
      </c>
      <c r="B21" s="14" t="inlineStr">
        <is>
          <t>BLOQUEAR NF SEM PRECO OU CODIGO</t>
        </is>
      </c>
      <c r="C21" s="14" t="inlineStr">
        <is>
          <t>1</t>
        </is>
      </c>
      <c r="D21" s="14" t="inlineStr">
        <is>
          <t>BOOL</t>
        </is>
      </c>
      <c r="E21" s="14" t="inlineStr">
        <is>
          <t>NAO ENVIA PAYLOAD FISCAL SEM VALOR OU CODIGO DE SERVICO</t>
        </is>
      </c>
      <c r="F21" s="14" t="inlineStr">
        <is>
          <t>1</t>
        </is>
      </c>
      <c r="G21" s="14" t="inlineStr">
        <is>
          <t>EVITA ERRO NO BACKEND</t>
        </is>
      </c>
    </row>
    <row r="22" ht="20" customHeight="1">
      <c r="A22" s="12" t="inlineStr">
        <is>
          <t>PERFIS</t>
        </is>
      </c>
      <c r="B22" s="12" t="inlineStr">
        <is>
          <t>EDITAR QUESTIONARIO</t>
        </is>
      </c>
      <c r="C22" s="12" t="inlineStr">
        <is>
          <t>MEDICO|SECRETARIA|VALIDADOR 1|VALIDADOR 2|VALIDADOR 3|MEDICO +4</t>
        </is>
      </c>
      <c r="D22" s="12" t="inlineStr">
        <is>
          <t>ENUM LIST</t>
        </is>
      </c>
      <c r="E22" s="12" t="inlineStr">
        <is>
          <t>LISTA DE PERFIS COM PERMISSAO DE EDICAO</t>
        </is>
      </c>
      <c r="F22" s="12" t="inlineStr">
        <is>
          <t>MEDICO|SECRETARIA</t>
        </is>
      </c>
      <c r="G22" s="12" t="inlineStr">
        <is>
          <t>ALINHAR COM ACL</t>
        </is>
      </c>
    </row>
    <row r="23" ht="20" customHeight="1">
      <c r="A23" s="12" t="inlineStr">
        <is>
          <t>PERFIS</t>
        </is>
      </c>
      <c r="B23" s="12" t="inlineStr">
        <is>
          <t>LIBERAR PDF CONTRATUAL</t>
        </is>
      </c>
      <c r="C23" s="12" t="inlineStr">
        <is>
          <t>MEDICO|MEDICO +4</t>
        </is>
      </c>
      <c r="D23" s="12" t="inlineStr">
        <is>
          <t>ENUM LIST</t>
        </is>
      </c>
      <c r="E23" s="12" t="inlineStr">
        <is>
          <t>QUEM PODE APROVAR SAIDA FINAL DE DOCUMENTO</t>
        </is>
      </c>
      <c r="F23" s="12" t="inlineStr">
        <is>
          <t>MEDICO</t>
        </is>
      </c>
      <c r="G23" s="12" t="inlineStr">
        <is>
          <t>NAO LIBERAR PARA PERFIL OPERACIONAL PURO</t>
        </is>
      </c>
    </row>
    <row r="24" ht="20" customHeight="1">
      <c r="A24" s="12" t="inlineStr">
        <is>
          <t>PERFIS</t>
        </is>
      </c>
      <c r="B24" s="12" t="inlineStr">
        <is>
          <t>LIBERAR PAYLOAD NF</t>
        </is>
      </c>
      <c r="C24" s="12" t="inlineStr">
        <is>
          <t>SECRETARIA|FINANCEIRO|MEDICO</t>
        </is>
      </c>
      <c r="D24" s="12" t="inlineStr">
        <is>
          <t>ENUM LIST</t>
        </is>
      </c>
      <c r="E24" s="12" t="inlineStr">
        <is>
          <t>QUEM PODE ACIONAR O ENVIO FISCAL</t>
        </is>
      </c>
      <c r="F24" s="12" t="inlineStr">
        <is>
          <t>SECRETARIA|FINANCEIRO</t>
        </is>
      </c>
      <c r="G24" s="12" t="inlineStr">
        <is>
          <t>COM LOG</t>
        </is>
      </c>
    </row>
    <row r="25" ht="20" customHeight="1">
      <c r="A25" s="12" t="inlineStr">
        <is>
          <t>SAIDA</t>
        </is>
      </c>
      <c r="B25" s="12" t="inlineStr">
        <is>
          <t>DOCUMENTOS GERADOS</t>
        </is>
      </c>
      <c r="C25" s="12" t="inlineStr">
        <is>
          <t>PDF CONTRATO|PDF CONSENTIMENTO|PAYLOAD NF|LOG AUDITORIA</t>
        </is>
      </c>
      <c r="D25" s="12" t="inlineStr">
        <is>
          <t>ENUM LIST</t>
        </is>
      </c>
      <c r="E25" s="12" t="inlineStr">
        <is>
          <t>PACOTE MINIMO APOS VALIDACAO</t>
        </is>
      </c>
      <c r="F25" s="12" t="inlineStr">
        <is>
          <t>PDF CONTRATO|PAYLOAD NF</t>
        </is>
      </c>
      <c r="G25" s="12" t="inlineStr">
        <is>
          <t>EXPANDIVEL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2" customHeight="1">
      <c r="A1" s="13" t="inlineStr">
        <is>
          <t>TEMA</t>
        </is>
      </c>
      <c r="B1" s="13" t="inlineStr">
        <is>
          <t>EXPLICACAO CURTA</t>
        </is>
      </c>
      <c r="C1" s="13" t="inlineStr">
        <is>
          <t>DECISAO RECOMENDADA</t>
        </is>
      </c>
      <c r="D1" s="13" t="inlineStr">
        <is>
          <t>MOTIVO</t>
        </is>
      </c>
      <c r="E1" s="13" t="inlineStr">
        <is>
          <t>RISCO SE MISTURAR</t>
        </is>
      </c>
    </row>
    <row r="2" ht="20" customHeight="1">
      <c r="A2" s="12" t="inlineStr">
        <is>
          <t>EDICAO POS RESPOSTA</t>
        </is>
      </c>
      <c r="B2" s="12" t="inlineStr">
        <is>
          <t>SE O QUESTIONARIO FOR EDITADO O MOTOR DEVE REPROCESSAR TUDO</t>
        </is>
      </c>
      <c r="C2" s="12" t="inlineStr">
        <is>
          <t>ATIVAR REPROCESSAMENTO AUTOMATICO</t>
        </is>
      </c>
      <c r="D2" s="12" t="inlineStr">
        <is>
          <t>EVITA CONTRATO E NF SAIREM COM DADOS ANTIGOS</t>
        </is>
      </c>
      <c r="E2" s="12" t="inlineStr">
        <is>
          <t>SEM ISSO O DOCUMENTO PODE FICAR DESALINHADO</t>
        </is>
      </c>
    </row>
    <row r="3" ht="20" customHeight="1">
      <c r="A3" s="12" t="inlineStr">
        <is>
          <t>VERSAO DO QUESTIONARIO</t>
        </is>
      </c>
      <c r="B3" s="12" t="inlineStr">
        <is>
          <t>SO UMA VERSAO DEVE VALER PARA PDF E NF</t>
        </is>
      </c>
      <c r="C3" s="12" t="inlineStr">
        <is>
          <t>USAR SEMPRE ULTIMA VERSAO APROVADA</t>
        </is>
      </c>
      <c r="D3" s="12" t="inlineStr">
        <is>
          <t>GARANTE RASTREABILIDADE</t>
        </is>
      </c>
      <c r="E3" s="12" t="inlineStr">
        <is>
          <t>VERSOES PARALELAS GERAM CONFLITO</t>
        </is>
      </c>
    </row>
    <row r="4" ht="20" customHeight="1">
      <c r="A4" s="12" t="inlineStr">
        <is>
          <t>MOTIVO DA EDICAO</t>
        </is>
      </c>
      <c r="B4" s="12" t="inlineStr">
        <is>
          <t>QUEM EDITA PRECISA DIZER O MOTIVO</t>
        </is>
      </c>
      <c r="C4" s="12" t="inlineStr">
        <is>
          <t>EXIGIR TEXTO CURTO NA ALTERACAO</t>
        </is>
      </c>
      <c r="D4" s="12" t="inlineStr">
        <is>
          <t>FACILITA AUDITORIA E DEFESA</t>
        </is>
      </c>
      <c r="E4" s="12" t="inlineStr">
        <is>
          <t>SEM MOTIVO FICA SEM PROVA OPERACIONAL</t>
        </is>
      </c>
    </row>
    <row r="5" ht="20" customHeight="1">
      <c r="A5" s="12" t="inlineStr">
        <is>
          <t>PLACEHOLDERS CONTRATUAIS</t>
        </is>
      </c>
      <c r="B5" s="12" t="inlineStr">
        <is>
          <t>CAMPOS DO CONTRATO DEVEM VIR DO CADASTRO E DO QUESTIONARIO</t>
        </is>
      </c>
      <c r="C5" s="12" t="inlineStr">
        <is>
          <t>MAPEAR PACIENTE EMPRESA PROFISSIONAL PROCEDIMENTO E VALOR</t>
        </is>
      </c>
      <c r="D5" s="12" t="inlineStr">
        <is>
          <t>PDF SAI PRONTO PARA GERACAO</t>
        </is>
      </c>
      <c r="E5" s="12" t="inlineStr">
        <is>
          <t>SE FALTAR UM CAMPO O CONTRATO QUEBRA</t>
        </is>
      </c>
    </row>
    <row r="6" ht="20" customHeight="1">
      <c r="A6" s="12" t="inlineStr">
        <is>
          <t>PLACEHOLDERS FISCAIS</t>
        </is>
      </c>
      <c r="B6" s="12" t="inlineStr">
        <is>
          <t>A NF DEVE RECEBER O MESMO PROCEDIMENTO APROVADO NO MOTOR</t>
        </is>
      </c>
      <c r="C6" s="12" t="inlineStr">
        <is>
          <t>TRAVAR ENVIO SEM CODIGO DE SERVICO E VALOR</t>
        </is>
      </c>
      <c r="D6" s="12" t="inlineStr">
        <is>
          <t>REDUZ ERRO NO BACKEND DE NF</t>
        </is>
      </c>
      <c r="E6" s="12" t="inlineStr">
        <is>
          <t>NF PODE SAIR ERRADA OU SER REJEITADA</t>
        </is>
      </c>
    </row>
    <row r="7" ht="20" customHeight="1">
      <c r="A7" s="12" t="inlineStr">
        <is>
          <t>DETECCAO DE CONTRADICAO</t>
        </is>
      </c>
      <c r="B7" s="12" t="inlineStr">
        <is>
          <t>A IA DEVE APONTAR RESPOSTAS INCOMPATIVEIS</t>
        </is>
      </c>
      <c r="C7" s="12" t="inlineStr">
        <is>
          <t>BLOQUEAR E ENVIAR PARA VALIDACAO HUMANA</t>
        </is>
      </c>
      <c r="D7" s="12" t="inlineStr">
        <is>
          <t>SEGURANCA CLINICA E JURIDICA</t>
        </is>
      </c>
      <c r="E7" s="12" t="inlineStr">
        <is>
          <t>SEM ISSO O MOTOR PODE OFERTAR ALGO INDEVIDO</t>
        </is>
      </c>
    </row>
    <row r="8" ht="20" customHeight="1">
      <c r="A8" s="12" t="inlineStr">
        <is>
          <t>DADOS OBRIGATORIOS</t>
        </is>
      </c>
      <c r="B8" s="12" t="inlineStr">
        <is>
          <t>CPF NOME PROCEDIMENTO E EMPRESA DEVEM EXISTIR</t>
        </is>
      </c>
      <c r="C8" s="12" t="inlineStr">
        <is>
          <t>CRIAR BLOQUEIO DURO PARA PDF E NF</t>
        </is>
      </c>
      <c r="D8" s="12" t="inlineStr">
        <is>
          <t>SEM BASE MINIMA NAO HA SAIDA SEGURA</t>
        </is>
      </c>
      <c r="E8" s="12" t="inlineStr">
        <is>
          <t>RISCO JURIDICO E FISCAL</t>
        </is>
      </c>
    </row>
    <row r="9" ht="20" customHeight="1">
      <c r="A9" s="12" t="inlineStr">
        <is>
          <t>ORIGEM UNICA DO DADO</t>
        </is>
      </c>
      <c r="B9" s="12" t="inlineStr">
        <is>
          <t>PACIENTE EMPRESA PROFISSIONAL E PROCEDIMENTO DEVEM TER FONTE OFICIAL</t>
        </is>
      </c>
      <c r="C9" s="12" t="inlineStr">
        <is>
          <t>EVITAR DIGITACAO DUPLA</t>
        </is>
      </c>
      <c r="D9" s="12" t="inlineStr">
        <is>
          <t>DIMINUI ERRO HUMANO</t>
        </is>
      </c>
      <c r="E9" s="12" t="inlineStr">
        <is>
          <t>DADOS DUPLOS SAEM DIFERENTES</t>
        </is>
      </c>
    </row>
    <row r="10" ht="20" customHeight="1">
      <c r="A10" s="12" t="inlineStr">
        <is>
          <t>MULTIEMPRESA</t>
        </is>
      </c>
      <c r="B10" s="12" t="inlineStr">
        <is>
          <t>CADA EMPRESA DEVE GERAR SEUS PROPRIOS DADOS E DOCUMENTOS</t>
        </is>
      </c>
      <c r="C10" s="12" t="inlineStr">
        <is>
          <t>PUXAR RODAPE EMISSOR E TITULOS DA BASE DA EMPRESA</t>
        </is>
      </c>
      <c r="D10" s="12" t="inlineStr">
        <is>
          <t>MANTEM ISOLAMENTO ENTRE TENANTS</t>
        </is>
      </c>
      <c r="E10" s="12" t="inlineStr">
        <is>
          <t>MISTURAR EMPRESAS QUEBRA CONTRATO E NF</t>
        </is>
      </c>
    </row>
    <row r="11" ht="20" customHeight="1">
      <c r="A11" s="12" t="inlineStr">
        <is>
          <t>PERFIS DE LIBERACAO</t>
        </is>
      </c>
      <c r="B11" s="12" t="inlineStr">
        <is>
          <t>NEM TODO MUNDO PODE GERAR DOCUMENTO FINAL</t>
        </is>
      </c>
      <c r="C11" s="12" t="inlineStr">
        <is>
          <t>DEIXAR APROVACAO FINAL COM PERFIS CLINICOS/FISCAIS DEFINIDOS</t>
        </is>
      </c>
      <c r="D11" s="12" t="inlineStr">
        <is>
          <t>GOVERNANCA</t>
        </is>
      </c>
      <c r="E11" s="12" t="inlineStr">
        <is>
          <t>SEM TRAVA QUALQUER PERFIL DISPARA SAIDA</t>
        </is>
      </c>
    </row>
    <row r="12" ht="20" customHeight="1">
      <c r="A12" s="12" t="inlineStr">
        <is>
          <t>LOG DOCUMENTAL</t>
        </is>
      </c>
      <c r="B12" s="12" t="inlineStr">
        <is>
          <t>CADA PDF E CADA PAYLOAD NF DEVEM APONTAR PARA A VERSAO QUE GEROU</t>
        </is>
      </c>
      <c r="C12" s="12" t="inlineStr">
        <is>
          <t>GRAVAR ID DA VERSAO E TIMESTAMP</t>
        </is>
      </c>
      <c r="D12" s="12" t="inlineStr">
        <is>
          <t>PROVA DE ORIGEM</t>
        </is>
      </c>
      <c r="E12" s="12" t="inlineStr">
        <is>
          <t>SEM LOG FICA IMPOSSIVEL AUDITAR</t>
        </is>
      </c>
    </row>
    <row r="13" ht="20" customHeight="1">
      <c r="A13" s="12" t="inlineStr">
        <is>
          <t>TESTES SEMANTICOS</t>
        </is>
      </c>
      <c r="B13" s="12" t="inlineStr">
        <is>
          <t>ANTES DE SUBIR PARA O SISTEMA TESTAR CASOS REAIS E CASOS DE ERRO</t>
        </is>
      </c>
      <c r="C13" s="12" t="inlineStr">
        <is>
          <t>USAR A ABA TESTES_SEMANTICOS_APPEND</t>
        </is>
      </c>
      <c r="D13" s="12" t="inlineStr">
        <is>
          <t>VALIDA O MOTOR ANTES DO DEPLOY</t>
        </is>
      </c>
      <c r="E13" s="12" t="inlineStr">
        <is>
          <t>SEM TESTE O ERRO VAI PARA PRODUCAO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38" customWidth="1" min="5" max="5"/>
    <col width="25" customWidth="1" min="6" max="6"/>
    <col width="12" customWidth="1" min="7" max="7"/>
    <col width="34" customWidth="1" min="8" max="8"/>
  </cols>
  <sheetData>
    <row r="1" ht="22" customHeight="1">
      <c r="A1" s="13" t="inlineStr">
        <is>
          <t>TESTE ID</t>
        </is>
      </c>
      <c r="B1" s="13" t="inlineStr">
        <is>
          <t>ENTRADA / ACAO</t>
        </is>
      </c>
      <c r="C1" s="13" t="inlineStr">
        <is>
          <t>ESPERADO NO MOTOR</t>
        </is>
      </c>
      <c r="D1" s="13" t="inlineStr">
        <is>
          <t>PLACEHOLDER CONTRATO</t>
        </is>
      </c>
      <c r="E1" s="13" t="inlineStr">
        <is>
          <t>PLACEHOLDER NF</t>
        </is>
      </c>
      <c r="F1" s="13" t="inlineStr">
        <is>
          <t>VALIDACAO HUMANA</t>
        </is>
      </c>
      <c r="G1" s="13" t="inlineStr">
        <is>
          <t>STATUS</t>
        </is>
      </c>
      <c r="H1" s="13" t="inlineStr">
        <is>
          <t>OBS</t>
        </is>
      </c>
    </row>
    <row r="2" ht="20" customHeight="1">
      <c r="A2" s="12" t="inlineStr">
        <is>
          <t>TS001</t>
        </is>
      </c>
      <c r="B2" s="12" t="inlineStr">
        <is>
          <t>QUEIXA = TIREOIDE + SINTOMAS COMPATIVEIS</t>
        </is>
      </c>
      <c r="C2" s="12" t="inlineStr">
        <is>
          <t>MOTOR SUGERE BLOCO TIREOIDE / EXAMES CORRELATOS</t>
        </is>
      </c>
      <c r="D2" s="12" t="inlineStr">
        <is>
          <t>PROCEDIMENTO E DESCRICAO CONTRATUAL ATUALIZADOS</t>
        </is>
      </c>
      <c r="E2" s="12" t="inlineStr">
        <is>
          <t>SERVICO REFLETE ITEM APROVADO</t>
        </is>
      </c>
      <c r="F2" s="12" t="inlineStr">
        <is>
          <t>MEDICO ASSISTENTE</t>
        </is>
      </c>
      <c r="G2" s="12" t="inlineStr">
        <is>
          <t>PLANEJADO</t>
        </is>
      </c>
      <c r="H2" s="12" t="inlineStr">
        <is>
          <t>TESTE BASE DE MATCH SEMANTICO</t>
        </is>
      </c>
    </row>
    <row r="3" ht="20" customHeight="1">
      <c r="A3" s="12" t="inlineStr">
        <is>
          <t>TS002</t>
        </is>
      </c>
      <c r="B3" s="12" t="inlineStr">
        <is>
          <t>ACEITA FORMULA = NAO</t>
        </is>
      </c>
      <c r="C3" s="12" t="inlineStr">
        <is>
          <t>MOTOR REMOVE FORMULAS DA SAIDA</t>
        </is>
      </c>
      <c r="D3" s="12" t="inlineStr">
        <is>
          <t>CONTRATO SEM CLAUSULA DE FORMULA</t>
        </is>
      </c>
      <c r="E3" s="12" t="inlineStr">
        <is>
          <t>NF SEM ITEM DE FORMULA</t>
        </is>
      </c>
      <c r="F3" s="12" t="inlineStr">
        <is>
          <t>VALIDADOR 1</t>
        </is>
      </c>
      <c r="G3" s="12" t="inlineStr">
        <is>
          <t>PLANEJADO</t>
        </is>
      </c>
      <c r="H3" s="12" t="inlineStr">
        <is>
          <t>NAO OFERTAR O QUE PACIENTE NEGOU</t>
        </is>
      </c>
    </row>
    <row r="4" ht="20" customHeight="1">
      <c r="A4" s="12" t="inlineStr">
        <is>
          <t>TS003</t>
        </is>
      </c>
      <c r="B4" s="12" t="inlineStr">
        <is>
          <t>EMPRESA TROCA DE EMP001 PARA EMP002</t>
        </is>
      </c>
      <c r="C4" s="12" t="inlineStr">
        <is>
          <t>MOTOR RECARREGA DADOS DA UNIDADE</t>
        </is>
      </c>
      <c r="D4" s="12" t="inlineStr">
        <is>
          <t>RODAPE E TITULO DO DOCUMENTO TROCAM</t>
        </is>
      </c>
      <c r="E4" s="12" t="inlineStr">
        <is>
          <t>EMISSOR / MUNICIPIO TROCAM</t>
        </is>
      </c>
      <c r="F4" s="12" t="inlineStr">
        <is>
          <t>SECRETARIA</t>
        </is>
      </c>
      <c r="G4" s="12" t="inlineStr">
        <is>
          <t>PLANEJADO</t>
        </is>
      </c>
      <c r="H4" s="12" t="inlineStr">
        <is>
          <t>TESTE MULTIEMPRESA</t>
        </is>
      </c>
    </row>
    <row r="5" ht="20" customHeight="1">
      <c r="A5" s="12" t="inlineStr">
        <is>
          <t>TEST SEMA TIRE 001</t>
        </is>
      </c>
      <c r="B5" s="12" t="inlineStr">
        <is>
          <t>PROFISSIONAL TROCA DE PROF001 PARA PROF002</t>
        </is>
      </c>
      <c r="C5" s="12" t="inlineStr">
        <is>
          <t>MOTOR RECARREGA RESPONSAVEL TECNICO</t>
        </is>
      </c>
      <c r="D5" s="12" t="inlineStr">
        <is>
          <t>ASSINATURA TEXTO TROCA</t>
        </is>
      </c>
      <c r="E5" s="12" t="inlineStr">
        <is>
          <t>RESPONSAVEL TECNICO NO PAYLOAD TROCA</t>
        </is>
      </c>
      <c r="F5" s="12" t="inlineStr">
        <is>
          <t>MEDICO +4</t>
        </is>
      </c>
      <c r="G5" s="12" t="inlineStr">
        <is>
          <t>PLANEJADO</t>
        </is>
      </c>
      <c r="H5" s="12" t="inlineStr">
        <is>
          <t>TESTE MULTIPROFISSIONAL</t>
        </is>
      </c>
    </row>
    <row r="6" ht="20" customHeight="1">
      <c r="A6" s="15" t="inlineStr">
        <is>
          <t>TEST SEMA FORM 002</t>
        </is>
      </c>
      <c r="B6" s="15" t="inlineStr">
        <is>
          <t>CPF DO PACIENTE VAZIO</t>
        </is>
      </c>
      <c r="C6" s="15" t="inlineStr">
        <is>
          <t>BLOQUEAR SAIDAS</t>
        </is>
      </c>
      <c r="D6" s="15" t="inlineStr">
        <is>
          <t>PDF BLOQUEADO</t>
        </is>
      </c>
      <c r="E6" s="15" t="inlineStr">
        <is>
          <t>PAYLOAD NF BLOQUEADO</t>
        </is>
      </c>
      <c r="F6" s="15" t="inlineStr">
        <is>
          <t>SECRETARIA</t>
        </is>
      </c>
      <c r="G6" s="15" t="inlineStr">
        <is>
          <t>PLANEJADO</t>
        </is>
      </c>
      <c r="H6" s="15" t="inlineStr">
        <is>
          <t>DADO OBRIGATORIO AUSENTE</t>
        </is>
      </c>
    </row>
    <row r="7" ht="20" customHeight="1">
      <c r="A7" s="15" t="inlineStr">
        <is>
          <t>TEST SEMA EMPR 003</t>
        </is>
      </c>
      <c r="B7" s="15" t="inlineStr">
        <is>
          <t>PROCEDIMENTO SEM VALOR</t>
        </is>
      </c>
      <c r="C7" s="15" t="inlineStr">
        <is>
          <t>BLOQUEAR CAMADA FISCAL</t>
        </is>
      </c>
      <c r="D7" s="15" t="inlineStr">
        <is>
          <t>CONTRATO PODE IR PARA REVISAO SEM ASSINATURA FINAL</t>
        </is>
      </c>
      <c r="E7" s="15" t="inlineStr">
        <is>
          <t>NF BLOQUEADA</t>
        </is>
      </c>
      <c r="F7" s="15" t="inlineStr">
        <is>
          <t>FINANCEIRO</t>
        </is>
      </c>
      <c r="G7" s="15" t="inlineStr">
        <is>
          <t>PLANEJADO</t>
        </is>
      </c>
      <c r="H7" s="15" t="inlineStr">
        <is>
          <t>VALOR E CODIGO DEVEM EXISTIR</t>
        </is>
      </c>
    </row>
    <row r="8" ht="20" customHeight="1">
      <c r="A8" s="12" t="inlineStr">
        <is>
          <t>TEST SEMA PROF 004</t>
        </is>
      </c>
      <c r="B8" s="12" t="inlineStr">
        <is>
          <t>EDICAO POS RESPOSTA ALTERA RISCO DE 2 PARA 5</t>
        </is>
      </c>
      <c r="C8" s="12" t="inlineStr">
        <is>
          <t>MOTOR REPROCESSA REGRAS E VALIDACOES</t>
        </is>
      </c>
      <c r="D8" s="12" t="inlineStr">
        <is>
          <t>VERSAO NOVA DO PDF APONTA RISCO ALTO</t>
        </is>
      </c>
      <c r="E8" s="12" t="inlineStr">
        <is>
          <t>NF FICA AGUARDANDO VALIDACAO</t>
        </is>
      </c>
      <c r="F8" s="12" t="inlineStr">
        <is>
          <t>VALIDADOR 2</t>
        </is>
      </c>
      <c r="G8" s="12" t="inlineStr">
        <is>
          <t>PLANEJADO</t>
        </is>
      </c>
      <c r="H8" s="12" t="inlineStr">
        <is>
          <t>TESTE DE REPROCESSAMENTO</t>
        </is>
      </c>
    </row>
    <row r="9" ht="20" customHeight="1">
      <c r="A9" s="15" t="inlineStr">
        <is>
          <t>TEST SEMA CPFV 005</t>
        </is>
      </c>
      <c r="B9" s="15" t="inlineStr">
        <is>
          <t>GRAVIDEZ = SIM E SEXO = M</t>
        </is>
      </c>
      <c r="C9" s="15" t="inlineStr">
        <is>
          <t>GERAR ALERTA SEMANTICO</t>
        </is>
      </c>
      <c r="D9" s="15" t="inlineStr">
        <is>
          <t>PDF BLOQUEADO</t>
        </is>
      </c>
      <c r="E9" s="15" t="inlineStr">
        <is>
          <t>NF BLOQUEADA ATE RESOLUCAO</t>
        </is>
      </c>
      <c r="F9" s="15" t="inlineStr">
        <is>
          <t>VALIDADOR 3</t>
        </is>
      </c>
      <c r="G9" s="15" t="inlineStr">
        <is>
          <t>PLANEJADO</t>
        </is>
      </c>
      <c r="H9" s="15" t="inlineStr">
        <is>
          <t>CONTRADICAO CRITICA</t>
        </is>
      </c>
    </row>
    <row r="10" ht="20" customHeight="1">
      <c r="A10" s="12" t="inlineStr">
        <is>
          <t>TEST SEMA PEND 006</t>
        </is>
      </c>
      <c r="B10" s="12" t="inlineStr">
        <is>
          <t>ALTERAR PROCEDIMENTO APOS GERAR PDF</t>
        </is>
      </c>
      <c r="C10" s="12" t="inlineStr">
        <is>
          <t>MOTOR MARCA DOCUMENTO ANTERIOR COMO OBSOLETO</t>
        </is>
      </c>
      <c r="D10" s="12" t="inlineStr">
        <is>
          <t>NOVO PDF RECEBE NOVA VERSAO</t>
        </is>
      </c>
      <c r="E10" s="12" t="inlineStr">
        <is>
          <t>NOVO PAYLOAD RECEBE NOVA VERSAO</t>
        </is>
      </c>
      <c r="F10" s="12" t="inlineStr">
        <is>
          <t>MEDICO</t>
        </is>
      </c>
      <c r="G10" s="12" t="inlineStr">
        <is>
          <t>PLANEJADO</t>
        </is>
      </c>
      <c r="H10" s="12" t="inlineStr">
        <is>
          <t>NAO REUTILIZAR SAIDA ANTIGA</t>
        </is>
      </c>
    </row>
    <row r="11" ht="20" customHeight="1">
      <c r="A11" s="12" t="inlineStr">
        <is>
          <t>TEST SEMA EDIT 007</t>
        </is>
      </c>
      <c r="B11" s="12" t="inlineStr">
        <is>
          <t>TENANT A E TENANT B COM MESMO NOME DE PACIENTE</t>
        </is>
      </c>
      <c r="C11" s="12" t="inlineStr">
        <is>
          <t>ISOLAMENTO TOTAL DOS DADOS</t>
        </is>
      </c>
      <c r="D11" s="12" t="inlineStr">
        <is>
          <t>CONTRATO PUXA EMPRESA CORRETA</t>
        </is>
      </c>
      <c r="E11" s="12" t="inlineStr">
        <is>
          <t>NF PUXA EMISSOR CORRETO</t>
        </is>
      </c>
      <c r="F11" s="12" t="inlineStr">
        <is>
          <t>ADMIN MASTER</t>
        </is>
      </c>
      <c r="G11" s="12" t="inlineStr">
        <is>
          <t>PLANEJADO</t>
        </is>
      </c>
      <c r="H11" s="12" t="inlineStr">
        <is>
          <t>SEM VAZAMENTO ENTRE EMPRESAS</t>
        </is>
      </c>
    </row>
    <row r="12" ht="20" customHeight="1">
      <c r="A12" s="12" t="inlineStr">
        <is>
          <t>TEST SEMA CONT 008</t>
        </is>
      </c>
      <c r="B12" s="12" t="inlineStr">
        <is>
          <t>USUARIO SEM PERMISSAO TENTA LIBERAR NF</t>
        </is>
      </c>
      <c r="C12" s="12" t="inlineStr">
        <is>
          <t>NEGAR ACAO E LOGAR TENTATIVA</t>
        </is>
      </c>
      <c r="D12" s="12" t="inlineStr">
        <is>
          <t>SEM PDF NOVO</t>
        </is>
      </c>
      <c r="E12" s="12" t="inlineStr">
        <is>
          <t>SEM PAYLOAD</t>
        </is>
      </c>
      <c r="F12" s="12" t="inlineStr">
        <is>
          <t>FINANCEIRO</t>
        </is>
      </c>
      <c r="G12" s="12" t="inlineStr">
        <is>
          <t>PLANEJADO</t>
        </is>
      </c>
      <c r="H12" s="12" t="inlineStr">
        <is>
          <t>TESTE DE ACL</t>
        </is>
      </c>
    </row>
    <row r="13" ht="20" customHeight="1">
      <c r="A13" s="12" t="inlineStr">
        <is>
          <t>TEST SEMA TENA 009</t>
        </is>
      </c>
      <c r="B13" s="12" t="inlineStr">
        <is>
          <t>BACKEND RETORNA ERRO DE NF</t>
        </is>
      </c>
      <c r="C13" s="12" t="inlineStr">
        <is>
          <t>MOTOR MARCA STATUS FISCAL COMO PENDENTE</t>
        </is>
      </c>
      <c r="D13" s="12" t="inlineStr">
        <is>
          <t>CONTRATO MANTEM STATUS VALIDADO</t>
        </is>
      </c>
      <c r="E13" s="12" t="inlineStr">
        <is>
          <t>NF FICA PENDENTE DE REENVIO</t>
        </is>
      </c>
      <c r="F13" s="12" t="inlineStr">
        <is>
          <t>SECRETARIA / FINANCEIRO</t>
        </is>
      </c>
      <c r="G13" s="12" t="inlineStr">
        <is>
          <t>PLANEJADO</t>
        </is>
      </c>
      <c r="H13" s="12" t="inlineStr">
        <is>
          <t>TESTE DE RESILIENCIA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6" customWidth="1" min="3" max="3"/>
    <col width="14" customWidth="1" min="4" max="4"/>
    <col width="13" customWidth="1" min="5" max="5"/>
    <col width="16" customWidth="1" min="6" max="6"/>
    <col width="32" customWidth="1" min="7" max="7"/>
    <col width="33" customWidth="1" min="8" max="8"/>
  </cols>
  <sheetData>
    <row r="1" ht="24" customHeight="1">
      <c r="A1" s="6" t="inlineStr">
        <is>
          <t>MAPA PERFIS E PERMISSOES</t>
        </is>
      </c>
    </row>
    <row r="2" ht="20" customHeight="1">
      <c r="A2" s="7" t="inlineStr">
        <is>
          <t>GOVERNANCA MULTIEMPRESA E RESPONSABILIDADES</t>
        </is>
      </c>
    </row>
    <row r="3" ht="20" customHeight="1"/>
    <row r="4" ht="20" customHeight="1">
      <c r="A4" s="8" t="inlineStr">
        <is>
          <t>PERFIL</t>
        </is>
      </c>
      <c r="B4" s="8" t="inlineStr">
        <is>
          <t>ESCOPO</t>
        </is>
      </c>
      <c r="C4" s="8" t="inlineStr">
        <is>
          <t>PODE EDITAR QUESTIONARIO</t>
        </is>
      </c>
      <c r="D4" s="8" t="inlineStr">
        <is>
          <t>PODE VALIDAR</t>
        </is>
      </c>
      <c r="E4" s="8" t="inlineStr">
        <is>
          <t>PODE BYPASS</t>
        </is>
      </c>
      <c r="F4" s="8" t="inlineStr">
        <is>
          <t>PODE EMITIR NF</t>
        </is>
      </c>
      <c r="G4" s="8" t="inlineStr">
        <is>
          <t>PODE VER DADOS OUTRAS EMPRESAS</t>
        </is>
      </c>
      <c r="H4" s="8" t="inlineStr">
        <is>
          <t>OBS</t>
        </is>
      </c>
    </row>
    <row r="5" ht="20" customHeight="1">
      <c r="A5" s="9" t="inlineStr">
        <is>
          <t>SECRETARIA</t>
        </is>
      </c>
      <c r="B5" s="9" t="inlineStr">
        <is>
          <t>OPERACIONAL</t>
        </is>
      </c>
      <c r="C5" s="9" t="inlineStr">
        <is>
          <t>SIM</t>
        </is>
      </c>
      <c r="D5" s="9" t="inlineStr">
        <is>
          <t>NAO</t>
        </is>
      </c>
      <c r="E5" s="9" t="inlineStr">
        <is>
          <t>NAO</t>
        </is>
      </c>
      <c r="F5" s="9" t="inlineStr">
        <is>
          <t>NAO</t>
        </is>
      </c>
      <c r="G5" s="9" t="inlineStr">
        <is>
          <t>NAO</t>
        </is>
      </c>
      <c r="H5" s="9" t="inlineStr">
        <is>
          <t>CADASTRO AGENDAMENTO E COBRANCA</t>
        </is>
      </c>
    </row>
    <row r="6" ht="20" customHeight="1">
      <c r="A6" s="9" t="inlineStr">
        <is>
          <t>PROFISSIONAL SAUDE</t>
        </is>
      </c>
      <c r="B6" s="9" t="inlineStr">
        <is>
          <t>EXECUCAO ASSISTENCIAL</t>
        </is>
      </c>
      <c r="C6" s="9" t="inlineStr">
        <is>
          <t>NAO</t>
        </is>
      </c>
      <c r="D6" s="9" t="inlineStr">
        <is>
          <t>SIM</t>
        </is>
      </c>
      <c r="E6" s="9" t="inlineStr">
        <is>
          <t>NAO</t>
        </is>
      </c>
      <c r="F6" s="9" t="inlineStr">
        <is>
          <t>NAO</t>
        </is>
      </c>
      <c r="G6" s="9" t="inlineStr">
        <is>
          <t>NAO</t>
        </is>
      </c>
      <c r="H6" s="9" t="inlineStr">
        <is>
          <t>PODE CONCLUIR ETAPAS TECNICAS</t>
        </is>
      </c>
    </row>
    <row r="7" ht="20" customHeight="1">
      <c r="A7" s="9" t="inlineStr">
        <is>
          <t>VALIDADOR 1</t>
        </is>
      </c>
      <c r="B7" s="9" t="inlineStr">
        <is>
          <t>REVISAO NIVEL 1</t>
        </is>
      </c>
      <c r="C7" s="9" t="inlineStr">
        <is>
          <t>NAO</t>
        </is>
      </c>
      <c r="D7" s="9" t="inlineStr">
        <is>
          <t>SIM</t>
        </is>
      </c>
      <c r="E7" s="9" t="inlineStr">
        <is>
          <t>NAO</t>
        </is>
      </c>
      <c r="F7" s="9" t="inlineStr">
        <is>
          <t>NAO</t>
        </is>
      </c>
      <c r="G7" s="9" t="inlineStr">
        <is>
          <t>NAO</t>
        </is>
      </c>
      <c r="H7" s="9" t="inlineStr">
        <is>
          <t>CHECKLIST CLINICO/OPERACIONAL</t>
        </is>
      </c>
    </row>
    <row r="8" ht="20" customHeight="1">
      <c r="A8" s="9" t="inlineStr">
        <is>
          <t>VALIDADOR 2</t>
        </is>
      </c>
      <c r="B8" s="9" t="inlineStr">
        <is>
          <t>REVISAO NIVEL 2</t>
        </is>
      </c>
      <c r="C8" s="9" t="inlineStr">
        <is>
          <t>NAO</t>
        </is>
      </c>
      <c r="D8" s="9" t="inlineStr">
        <is>
          <t>SIM</t>
        </is>
      </c>
      <c r="E8" s="9" t="inlineStr">
        <is>
          <t>NAO</t>
        </is>
      </c>
      <c r="F8" s="9" t="inlineStr">
        <is>
          <t>NAO</t>
        </is>
      </c>
      <c r="G8" s="9" t="inlineStr">
        <is>
          <t>NAO</t>
        </is>
      </c>
      <c r="H8" s="9" t="inlineStr">
        <is>
          <t>CASOS DE MAIOR RISCO</t>
        </is>
      </c>
    </row>
    <row r="9" ht="20" customHeight="1">
      <c r="A9" s="9" t="inlineStr">
        <is>
          <t>VALIDADOR 3</t>
        </is>
      </c>
      <c r="B9" s="9" t="inlineStr">
        <is>
          <t>REVISAO NIVEL 3</t>
        </is>
      </c>
      <c r="C9" s="9" t="inlineStr">
        <is>
          <t>NAO</t>
        </is>
      </c>
      <c r="D9" s="9" t="inlineStr">
        <is>
          <t>SIM</t>
        </is>
      </c>
      <c r="E9" s="9" t="inlineStr">
        <is>
          <t>NAO</t>
        </is>
      </c>
      <c r="F9" s="9" t="inlineStr">
        <is>
          <t>NAO</t>
        </is>
      </c>
      <c r="G9" s="9" t="inlineStr">
        <is>
          <t>NAO</t>
        </is>
      </c>
      <c r="H9" s="9" t="inlineStr">
        <is>
          <t>CASOS EXCEPCIONAIS</t>
        </is>
      </c>
    </row>
    <row r="10" ht="20" customHeight="1">
      <c r="A10" s="9" t="inlineStr">
        <is>
          <t>MEDICO EXECUTOR</t>
        </is>
      </c>
      <c r="B10" s="9" t="inlineStr">
        <is>
          <t>CLINICO</t>
        </is>
      </c>
      <c r="C10" s="9" t="inlineStr">
        <is>
          <t>SIM</t>
        </is>
      </c>
      <c r="D10" s="9" t="inlineStr">
        <is>
          <t>SIM</t>
        </is>
      </c>
      <c r="E10" s="9" t="inlineStr">
        <is>
          <t>NAO</t>
        </is>
      </c>
      <c r="F10" s="9" t="inlineStr">
        <is>
          <t>NAO</t>
        </is>
      </c>
      <c r="G10" s="9" t="inlineStr">
        <is>
          <t>NAO</t>
        </is>
      </c>
      <c r="H10" s="9" t="inlineStr">
        <is>
          <t>RESPONSAVEL PELA CONDUTA</t>
        </is>
      </c>
    </row>
    <row r="11" ht="20" customHeight="1">
      <c r="A11" s="9" t="inlineStr">
        <is>
          <t>MEDICO ADMIN</t>
        </is>
      </c>
      <c r="B11" s="9" t="inlineStr">
        <is>
          <t>CLINICO + GESTAO</t>
        </is>
      </c>
      <c r="C11" s="9" t="inlineStr">
        <is>
          <t>SIM</t>
        </is>
      </c>
      <c r="D11" s="9" t="inlineStr">
        <is>
          <t>SIM</t>
        </is>
      </c>
      <c r="E11" s="9" t="inlineStr">
        <is>
          <t>SIM</t>
        </is>
      </c>
      <c r="F11" s="9" t="inlineStr">
        <is>
          <t>NAO</t>
        </is>
      </c>
      <c r="G11" s="9" t="inlineStr">
        <is>
          <t>SIM</t>
        </is>
      </c>
      <c r="H11" s="9" t="inlineStr">
        <is>
          <t>BYPASS SOMENTE COM LOG</t>
        </is>
      </c>
    </row>
    <row r="12" ht="20" customHeight="1">
      <c r="A12" s="9" t="inlineStr">
        <is>
          <t>FINANCEIRO</t>
        </is>
      </c>
      <c r="B12" s="9" t="inlineStr">
        <is>
          <t>RECEBIMENTO</t>
        </is>
      </c>
      <c r="C12" s="9" t="inlineStr">
        <is>
          <t>NAO</t>
        </is>
      </c>
      <c r="D12" s="9" t="inlineStr">
        <is>
          <t>NAO</t>
        </is>
      </c>
      <c r="E12" s="9" t="inlineStr">
        <is>
          <t>NAO</t>
        </is>
      </c>
      <c r="F12" s="9" t="inlineStr">
        <is>
          <t>NAO</t>
        </is>
      </c>
      <c r="G12" s="9" t="inlineStr">
        <is>
          <t>NAO</t>
        </is>
      </c>
      <c r="H12" s="9" t="inlineStr">
        <is>
          <t>CONCILIA GATEWAYS E VALORES</t>
        </is>
      </c>
    </row>
    <row r="13" ht="20" customHeight="1">
      <c r="A13" s="9" t="inlineStr">
        <is>
          <t>FISCAL</t>
        </is>
      </c>
      <c r="B13" s="9" t="inlineStr">
        <is>
          <t>EMISSAO</t>
        </is>
      </c>
      <c r="C13" s="9" t="inlineStr">
        <is>
          <t>NAO</t>
        </is>
      </c>
      <c r="D13" s="9" t="inlineStr">
        <is>
          <t>NAO</t>
        </is>
      </c>
      <c r="E13" s="9" t="inlineStr">
        <is>
          <t>NAO</t>
        </is>
      </c>
      <c r="F13" s="9" t="inlineStr">
        <is>
          <t>SIM</t>
        </is>
      </c>
      <c r="G13" s="9" t="inlineStr">
        <is>
          <t>NAO</t>
        </is>
      </c>
      <c r="H13" s="9" t="inlineStr">
        <is>
          <t>ENVIO AO BACKEND FISCAL</t>
        </is>
      </c>
    </row>
    <row r="14" ht="20" customHeight="1">
      <c r="A14" s="9" t="inlineStr">
        <is>
          <t>MASTER ESTRATEGICO</t>
        </is>
      </c>
      <c r="B14" s="9" t="inlineStr">
        <is>
          <t>GOVERNANCA CENTRAL</t>
        </is>
      </c>
      <c r="C14" s="9" t="inlineStr">
        <is>
          <t>SIM</t>
        </is>
      </c>
      <c r="D14" s="9" t="inlineStr">
        <is>
          <t>SIM</t>
        </is>
      </c>
      <c r="E14" s="9" t="inlineStr">
        <is>
          <t>SIM</t>
        </is>
      </c>
      <c r="F14" s="9" t="inlineStr">
        <is>
          <t>SIM</t>
        </is>
      </c>
      <c r="G14" s="9" t="inlineStr">
        <is>
          <t>SIM</t>
        </is>
      </c>
      <c r="H14" s="9" t="inlineStr">
        <is>
          <t>VISAO GLOBAL CONTROLADA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3" customWidth="1" min="3" max="3"/>
    <col width="18" customWidth="1" min="4" max="4"/>
    <col width="20" customWidth="1" min="5" max="5"/>
    <col width="13" customWidth="1" min="6" max="6"/>
    <col width="13" customWidth="1" min="7" max="7"/>
    <col width="23" customWidth="1" min="8" max="8"/>
    <col width="13" customWidth="1" min="9" max="9"/>
    <col width="34" customWidth="1" min="10" max="10"/>
    <col width="21" customWidth="1" min="11" max="11"/>
    <col width="22" customWidth="1" min="12" max="12"/>
    <col width="21" customWidth="1" min="13" max="13"/>
    <col width="28" customWidth="1" min="14" max="14"/>
  </cols>
  <sheetData>
    <row r="1" ht="24" customHeight="1">
      <c r="A1" s="6" t="inlineStr">
        <is>
          <t>FLUXO TOGGLES E APROVACOES</t>
        </is>
      </c>
    </row>
    <row r="2" ht="20" customHeight="1">
      <c r="A2" s="7" t="inlineStr">
        <is>
          <t>PARAMETRIZACAO DO WORKFLOW POR PROCEDIMENTO</t>
        </is>
      </c>
    </row>
    <row r="3" ht="20" customHeight="1"/>
    <row r="4" ht="20" customHeight="1">
      <c r="A4" s="8" t="inlineStr">
        <is>
          <t>CODIGO_FLUXO</t>
        </is>
      </c>
      <c r="B4" s="8" t="inlineStr">
        <is>
          <t>TIPO_PROCEDIMENTO</t>
        </is>
      </c>
      <c r="C4" s="8" t="inlineStr">
        <is>
          <t>ETAPA_ORDEM</t>
        </is>
      </c>
      <c r="D4" s="8" t="inlineStr">
        <is>
          <t>ETAPA_NOME</t>
        </is>
      </c>
      <c r="E4" s="8" t="inlineStr">
        <is>
          <t>PERFIL_RESPONSAVEL</t>
        </is>
      </c>
      <c r="F4" s="8" t="inlineStr">
        <is>
          <t>REQUERIDO</t>
        </is>
      </c>
      <c r="G4" s="8" t="inlineStr">
        <is>
          <t>CONDICIONAL</t>
        </is>
      </c>
      <c r="H4" s="8" t="inlineStr">
        <is>
          <t>REGRA_CONDICIONAL</t>
        </is>
      </c>
      <c r="I4" s="8" t="inlineStr">
        <is>
          <t>PODE_BYPASS</t>
        </is>
      </c>
      <c r="J4" s="8" t="inlineStr">
        <is>
          <t>SOMENTE_MEDICO_ADMIN_PODE_BYPASS</t>
        </is>
      </c>
      <c r="K4" s="8" t="inlineStr">
        <is>
          <t>EXIGE_JUSTIFICATIVA</t>
        </is>
      </c>
      <c r="L4" s="8" t="inlineStr">
        <is>
          <t>BLOQUEIA_SE_PENDENTE</t>
        </is>
      </c>
      <c r="M4" s="8" t="inlineStr">
        <is>
          <t>DISPARA_NOTIFICACAO</t>
        </is>
      </c>
      <c r="N4" s="8" t="inlineStr">
        <is>
          <t>OBS</t>
        </is>
      </c>
    </row>
    <row r="5" ht="20" customHeight="1">
      <c r="A5" s="9" t="inlineStr">
        <is>
          <t>FLUX CONS OPER 001</t>
        </is>
      </c>
      <c r="B5" s="9" t="inlineStr">
        <is>
          <t>CONSULTA</t>
        </is>
      </c>
      <c r="C5" s="9" t="inlineStr">
        <is>
          <t>1</t>
        </is>
      </c>
      <c r="D5" s="9" t="inlineStr">
        <is>
          <t>CADASTRO</t>
        </is>
      </c>
      <c r="E5" s="9" t="inlineStr">
        <is>
          <t>SECRETARIA</t>
        </is>
      </c>
      <c r="F5" s="9" t="inlineStr">
        <is>
          <t>SIM</t>
        </is>
      </c>
      <c r="G5" s="9" t="inlineStr">
        <is>
          <t>NAO</t>
        </is>
      </c>
      <c r="H5" s="9" t="inlineStr"/>
      <c r="I5" s="9" t="inlineStr">
        <is>
          <t>NAO</t>
        </is>
      </c>
      <c r="J5" s="9" t="inlineStr">
        <is>
          <t>SIM</t>
        </is>
      </c>
      <c r="K5" s="9" t="inlineStr">
        <is>
          <t>NAO</t>
        </is>
      </c>
      <c r="L5" s="9" t="inlineStr">
        <is>
          <t>SIM</t>
        </is>
      </c>
      <c r="M5" s="9" t="inlineStr">
        <is>
          <t>SIM</t>
        </is>
      </c>
      <c r="N5" s="9" t="inlineStr">
        <is>
          <t>ABERTURA DO CASO</t>
        </is>
      </c>
    </row>
    <row r="6" ht="20" customHeight="1">
      <c r="A6" s="9" t="inlineStr">
        <is>
          <t>FLUX CONS OPER 001</t>
        </is>
      </c>
      <c r="B6" s="9" t="inlineStr">
        <is>
          <t>CONSULTA</t>
        </is>
      </c>
      <c r="C6" s="9" t="inlineStr">
        <is>
          <t>2</t>
        </is>
      </c>
      <c r="D6" s="9" t="inlineStr">
        <is>
          <t>ATENDIMENTO</t>
        </is>
      </c>
      <c r="E6" s="9" t="inlineStr">
        <is>
          <t>MEDICO EXECUTOR</t>
        </is>
      </c>
      <c r="F6" s="9" t="inlineStr">
        <is>
          <t>SIM</t>
        </is>
      </c>
      <c r="G6" s="9" t="inlineStr">
        <is>
          <t>NAO</t>
        </is>
      </c>
      <c r="H6" s="9" t="inlineStr"/>
      <c r="I6" s="9" t="inlineStr">
        <is>
          <t>NAO</t>
        </is>
      </c>
      <c r="J6" s="9" t="inlineStr">
        <is>
          <t>SIM</t>
        </is>
      </c>
      <c r="K6" s="9" t="inlineStr">
        <is>
          <t>NAO</t>
        </is>
      </c>
      <c r="L6" s="9" t="inlineStr">
        <is>
          <t>SIM</t>
        </is>
      </c>
      <c r="M6" s="9" t="inlineStr">
        <is>
          <t>SIM</t>
        </is>
      </c>
      <c r="N6" s="9" t="inlineStr">
        <is>
          <t>CONDUTA CLINICA</t>
        </is>
      </c>
    </row>
    <row r="7" ht="20" customHeight="1">
      <c r="A7" s="9" t="inlineStr">
        <is>
          <t>FLUX CONS OPER 001</t>
        </is>
      </c>
      <c r="B7" s="9" t="inlineStr">
        <is>
          <t>CONSULTA</t>
        </is>
      </c>
      <c r="C7" s="9" t="inlineStr">
        <is>
          <t>3</t>
        </is>
      </c>
      <c r="D7" s="9" t="inlineStr">
        <is>
          <t>PAGAMENTO</t>
        </is>
      </c>
      <c r="E7" s="9" t="inlineStr">
        <is>
          <t>FINANCEIRO</t>
        </is>
      </c>
      <c r="F7" s="9" t="inlineStr">
        <is>
          <t>SIM</t>
        </is>
      </c>
      <c r="G7" s="9" t="inlineStr">
        <is>
          <t>NAO</t>
        </is>
      </c>
      <c r="H7" s="9" t="inlineStr"/>
      <c r="I7" s="9" t="inlineStr">
        <is>
          <t>NAO</t>
        </is>
      </c>
      <c r="J7" s="9" t="inlineStr">
        <is>
          <t>SIM</t>
        </is>
      </c>
      <c r="K7" s="9" t="inlineStr">
        <is>
          <t>NAO</t>
        </is>
      </c>
      <c r="L7" s="9" t="inlineStr">
        <is>
          <t>SIM</t>
        </is>
      </c>
      <c r="M7" s="9" t="inlineStr">
        <is>
          <t>SIM</t>
        </is>
      </c>
      <c r="N7" s="9" t="inlineStr">
        <is>
          <t>PRECISA STATUS APROVADO</t>
        </is>
      </c>
    </row>
    <row r="8" ht="20" customHeight="1">
      <c r="A8" s="9" t="inlineStr">
        <is>
          <t>FLUX CONS OPER 001</t>
        </is>
      </c>
      <c r="B8" s="9" t="inlineStr">
        <is>
          <t>CONSULTA</t>
        </is>
      </c>
      <c r="C8" s="9" t="inlineStr">
        <is>
          <t>4</t>
        </is>
      </c>
      <c r="D8" s="9" t="inlineStr">
        <is>
          <t>EMISSAO NF</t>
        </is>
      </c>
      <c r="E8" s="9" t="inlineStr">
        <is>
          <t>FISCAL</t>
        </is>
      </c>
      <c r="F8" s="9" t="inlineStr">
        <is>
          <t>CONDICIONAL</t>
        </is>
      </c>
      <c r="G8" s="9" t="inlineStr">
        <is>
          <t>SIM</t>
        </is>
      </c>
      <c r="H8" s="9" t="inlineStr">
        <is>
          <t>SE PAGAMENTO=APROVADO</t>
        </is>
      </c>
      <c r="I8" s="9" t="inlineStr">
        <is>
          <t>NAO</t>
        </is>
      </c>
      <c r="J8" s="9" t="inlineStr">
        <is>
          <t>SIM</t>
        </is>
      </c>
      <c r="K8" s="9" t="inlineStr">
        <is>
          <t>NAO</t>
        </is>
      </c>
      <c r="L8" s="9" t="inlineStr">
        <is>
          <t>SIM</t>
        </is>
      </c>
      <c r="M8" s="9" t="inlineStr">
        <is>
          <t>SIM</t>
        </is>
      </c>
      <c r="N8" s="9" t="inlineStr">
        <is>
          <t>SOMENTE SE POLITICA EXIGIR</t>
        </is>
      </c>
    </row>
    <row r="9" ht="20" customHeight="1">
      <c r="A9" s="9" t="inlineStr">
        <is>
          <t>FLUX INFU OPER 002</t>
        </is>
      </c>
      <c r="B9" s="9" t="inlineStr">
        <is>
          <t>INFUSAO</t>
        </is>
      </c>
      <c r="C9" s="9" t="inlineStr">
        <is>
          <t>1</t>
        </is>
      </c>
      <c r="D9" s="9" t="inlineStr">
        <is>
          <t>CADASTRO</t>
        </is>
      </c>
      <c r="E9" s="9" t="inlineStr">
        <is>
          <t>SECRETARIA</t>
        </is>
      </c>
      <c r="F9" s="9" t="inlineStr">
        <is>
          <t>SIM</t>
        </is>
      </c>
      <c r="G9" s="9" t="inlineStr">
        <is>
          <t>NAO</t>
        </is>
      </c>
      <c r="H9" s="9" t="inlineStr"/>
      <c r="I9" s="9" t="inlineStr">
        <is>
          <t>NAO</t>
        </is>
      </c>
      <c r="J9" s="9" t="inlineStr">
        <is>
          <t>SIM</t>
        </is>
      </c>
      <c r="K9" s="9" t="inlineStr">
        <is>
          <t>NAO</t>
        </is>
      </c>
      <c r="L9" s="9" t="inlineStr">
        <is>
          <t>SIM</t>
        </is>
      </c>
      <c r="M9" s="9" t="inlineStr">
        <is>
          <t>SIM</t>
        </is>
      </c>
      <c r="N9" s="9" t="inlineStr">
        <is>
          <t>ABERTURA DO CASO</t>
        </is>
      </c>
    </row>
    <row r="10" ht="20" customHeight="1">
      <c r="A10" s="9" t="inlineStr">
        <is>
          <t>FLUX INFU OPER 002</t>
        </is>
      </c>
      <c r="B10" s="9" t="inlineStr">
        <is>
          <t>INFUSAO</t>
        </is>
      </c>
      <c r="C10" s="9" t="inlineStr">
        <is>
          <t>2</t>
        </is>
      </c>
      <c r="D10" s="9" t="inlineStr">
        <is>
          <t>PREPARO</t>
        </is>
      </c>
      <c r="E10" s="9" t="inlineStr">
        <is>
          <t>PROFISSIONAL SAUDE</t>
        </is>
      </c>
      <c r="F10" s="9" t="inlineStr">
        <is>
          <t>SIM</t>
        </is>
      </c>
      <c r="G10" s="9" t="inlineStr">
        <is>
          <t>NAO</t>
        </is>
      </c>
      <c r="H10" s="9" t="inlineStr"/>
      <c r="I10" s="9" t="inlineStr">
        <is>
          <t>NAO</t>
        </is>
      </c>
      <c r="J10" s="9" t="inlineStr">
        <is>
          <t>SIM</t>
        </is>
      </c>
      <c r="K10" s="9" t="inlineStr">
        <is>
          <t>NAO</t>
        </is>
      </c>
      <c r="L10" s="9" t="inlineStr">
        <is>
          <t>SIM</t>
        </is>
      </c>
      <c r="M10" s="9" t="inlineStr">
        <is>
          <t>SIM</t>
        </is>
      </c>
      <c r="N10" s="9" t="inlineStr">
        <is>
          <t>PREPARO DO PROTOCOLO</t>
        </is>
      </c>
    </row>
    <row r="11" ht="20" customHeight="1">
      <c r="A11" s="9" t="inlineStr">
        <is>
          <t>FLUX INFU OPER 002</t>
        </is>
      </c>
      <c r="B11" s="9" t="inlineStr">
        <is>
          <t>INFUSAO</t>
        </is>
      </c>
      <c r="C11" s="9" t="inlineStr">
        <is>
          <t>3</t>
        </is>
      </c>
      <c r="D11" s="9" t="inlineStr">
        <is>
          <t>VALIDACAO 1</t>
        </is>
      </c>
      <c r="E11" s="9" t="inlineStr">
        <is>
          <t>VALIDADOR 1</t>
        </is>
      </c>
      <c r="F11" s="9" t="inlineStr">
        <is>
          <t>SIM</t>
        </is>
      </c>
      <c r="G11" s="9" t="inlineStr">
        <is>
          <t>NAO</t>
        </is>
      </c>
      <c r="H11" s="9" t="inlineStr"/>
      <c r="I11" s="9" t="inlineStr">
        <is>
          <t>SIM</t>
        </is>
      </c>
      <c r="J11" s="9" t="inlineStr">
        <is>
          <t>SIM</t>
        </is>
      </c>
      <c r="K11" s="9" t="inlineStr">
        <is>
          <t>SIM</t>
        </is>
      </c>
      <c r="L11" s="9" t="inlineStr">
        <is>
          <t>SIM</t>
        </is>
      </c>
      <c r="M11" s="9" t="inlineStr">
        <is>
          <t>SIM</t>
        </is>
      </c>
      <c r="N11" s="9" t="inlineStr">
        <is>
          <t>CHECKLIST OBRIGATORIO</t>
        </is>
      </c>
    </row>
    <row r="12" ht="20" customHeight="1">
      <c r="A12" s="9" t="inlineStr">
        <is>
          <t>FLUX INFU OPER 002</t>
        </is>
      </c>
      <c r="B12" s="9" t="inlineStr">
        <is>
          <t>INFUSAO</t>
        </is>
      </c>
      <c r="C12" s="9" t="inlineStr">
        <is>
          <t>4</t>
        </is>
      </c>
      <c r="D12" s="9" t="inlineStr">
        <is>
          <t>VALIDACAO 2</t>
        </is>
      </c>
      <c r="E12" s="9" t="inlineStr">
        <is>
          <t>VALIDADOR 2</t>
        </is>
      </c>
      <c r="F12" s="9" t="inlineStr">
        <is>
          <t>NAO</t>
        </is>
      </c>
      <c r="G12" s="9" t="inlineStr">
        <is>
          <t>SIM</t>
        </is>
      </c>
      <c r="H12" s="9" t="inlineStr">
        <is>
          <t>SE RISCO&gt;=4</t>
        </is>
      </c>
      <c r="I12" s="9" t="inlineStr">
        <is>
          <t>SIM</t>
        </is>
      </c>
      <c r="J12" s="9" t="inlineStr">
        <is>
          <t>SIM</t>
        </is>
      </c>
      <c r="K12" s="9" t="inlineStr">
        <is>
          <t>SIM</t>
        </is>
      </c>
      <c r="L12" s="9" t="inlineStr">
        <is>
          <t>SIM</t>
        </is>
      </c>
      <c r="M12" s="9" t="inlineStr">
        <is>
          <t>SIM</t>
        </is>
      </c>
      <c r="N12" s="9" t="inlineStr">
        <is>
          <t>ACIONA SO EM RISCO ALTO</t>
        </is>
      </c>
    </row>
    <row r="13" ht="20" customHeight="1">
      <c r="A13" s="9" t="inlineStr">
        <is>
          <t>FLUX INFU OPER 002</t>
        </is>
      </c>
      <c r="B13" s="9" t="inlineStr">
        <is>
          <t>INFUSAO</t>
        </is>
      </c>
      <c r="C13" s="9" t="inlineStr">
        <is>
          <t>5</t>
        </is>
      </c>
      <c r="D13" s="9" t="inlineStr">
        <is>
          <t>APROVACAO MEDICA</t>
        </is>
      </c>
      <c r="E13" s="9" t="inlineStr">
        <is>
          <t>MEDICO EXECUTOR</t>
        </is>
      </c>
      <c r="F13" s="9" t="inlineStr">
        <is>
          <t>SIM</t>
        </is>
      </c>
      <c r="G13" s="9" t="inlineStr">
        <is>
          <t>NAO</t>
        </is>
      </c>
      <c r="H13" s="9" t="inlineStr"/>
      <c r="I13" s="9" t="inlineStr">
        <is>
          <t>SIM</t>
        </is>
      </c>
      <c r="J13" s="9" t="inlineStr">
        <is>
          <t>SIM</t>
        </is>
      </c>
      <c r="K13" s="9" t="inlineStr">
        <is>
          <t>SIM</t>
        </is>
      </c>
      <c r="L13" s="9" t="inlineStr">
        <is>
          <t>SIM</t>
        </is>
      </c>
      <c r="M13" s="9" t="inlineStr">
        <is>
          <t>SIM</t>
        </is>
      </c>
      <c r="N13" s="9" t="inlineStr">
        <is>
          <t>LIBERA EXECUCAO</t>
        </is>
      </c>
    </row>
    <row r="14" ht="20" customHeight="1">
      <c r="A14" s="9" t="inlineStr">
        <is>
          <t>FLUX INFU OPER 002</t>
        </is>
      </c>
      <c r="B14" s="9" t="inlineStr">
        <is>
          <t>INFUSAO</t>
        </is>
      </c>
      <c r="C14" s="9" t="inlineStr">
        <is>
          <t>6</t>
        </is>
      </c>
      <c r="D14" s="9" t="inlineStr">
        <is>
          <t>PAGAMENTO</t>
        </is>
      </c>
      <c r="E14" s="9" t="inlineStr">
        <is>
          <t>FINANCEIRO</t>
        </is>
      </c>
      <c r="F14" s="9" t="inlineStr">
        <is>
          <t>SIM</t>
        </is>
      </c>
      <c r="G14" s="9" t="inlineStr">
        <is>
          <t>NAO</t>
        </is>
      </c>
      <c r="H14" s="9" t="inlineStr"/>
      <c r="I14" s="9" t="inlineStr">
        <is>
          <t>NAO</t>
        </is>
      </c>
      <c r="J14" s="9" t="inlineStr">
        <is>
          <t>SIM</t>
        </is>
      </c>
      <c r="K14" s="9" t="inlineStr">
        <is>
          <t>NAO</t>
        </is>
      </c>
      <c r="L14" s="9" t="inlineStr">
        <is>
          <t>SIM</t>
        </is>
      </c>
      <c r="M14" s="9" t="inlineStr">
        <is>
          <t>SIM</t>
        </is>
      </c>
      <c r="N14" s="9" t="inlineStr">
        <is>
          <t>PRECISA STATUS APROVADO</t>
        </is>
      </c>
    </row>
    <row r="15" ht="20" customHeight="1">
      <c r="A15" s="9" t="inlineStr">
        <is>
          <t>FLUX INFU OPER 002</t>
        </is>
      </c>
      <c r="B15" s="9" t="inlineStr">
        <is>
          <t>INFUSAO</t>
        </is>
      </c>
      <c r="C15" s="9" t="inlineStr">
        <is>
          <t>7</t>
        </is>
      </c>
      <c r="D15" s="9" t="inlineStr">
        <is>
          <t>EMISSAO NF</t>
        </is>
      </c>
      <c r="E15" s="9" t="inlineStr">
        <is>
          <t>FISCAL</t>
        </is>
      </c>
      <c r="F15" s="9" t="inlineStr">
        <is>
          <t>SIM</t>
        </is>
      </c>
      <c r="G15" s="9" t="inlineStr">
        <is>
          <t>NAO</t>
        </is>
      </c>
      <c r="H15" s="9" t="inlineStr"/>
      <c r="I15" s="9" t="inlineStr">
        <is>
          <t>NAO</t>
        </is>
      </c>
      <c r="J15" s="9" t="inlineStr">
        <is>
          <t>SIM</t>
        </is>
      </c>
      <c r="K15" s="9" t="inlineStr">
        <is>
          <t>NAO</t>
        </is>
      </c>
      <c r="L15" s="9" t="inlineStr">
        <is>
          <t>SIM</t>
        </is>
      </c>
      <c r="M15" s="9" t="inlineStr">
        <is>
          <t>SIM</t>
        </is>
      </c>
      <c r="N15" s="9" t="inlineStr">
        <is>
          <t>TEXTO NF PADRONIZADO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6" customWidth="1" min="3" max="3"/>
    <col width="12" customWidth="1" min="4" max="4"/>
    <col width="28" customWidth="1" min="5" max="5"/>
    <col width="12" customWidth="1" min="6" max="6"/>
    <col width="23" customWidth="1" min="7" max="7"/>
  </cols>
  <sheetData>
    <row r="1" ht="24" customHeight="1">
      <c r="A1" s="6" t="inlineStr">
        <is>
          <t>FLUXO REGRAS CONDICIONAIS</t>
        </is>
      </c>
    </row>
    <row r="2" ht="20" customHeight="1">
      <c r="A2" s="7" t="inlineStr">
        <is>
          <t>REGRAS QUE LIGAM E DESLIGAM ETAPAS E VALIDADORES</t>
        </is>
      </c>
    </row>
    <row r="3" ht="20" customHeight="1"/>
    <row r="4" ht="20" customHeight="1">
      <c r="A4" s="8" t="inlineStr">
        <is>
          <t>REGRA_ID</t>
        </is>
      </c>
      <c r="B4" s="8" t="inlineStr">
        <is>
          <t>CAMPO_BASE</t>
        </is>
      </c>
      <c r="C4" s="8" t="inlineStr">
        <is>
          <t>OPERADOR</t>
        </is>
      </c>
      <c r="D4" s="8" t="inlineStr">
        <is>
          <t>VALOR</t>
        </is>
      </c>
      <c r="E4" s="8" t="inlineStr">
        <is>
          <t>RESULTADO</t>
        </is>
      </c>
      <c r="F4" s="8" t="inlineStr">
        <is>
          <t>PRIORIDADE</t>
        </is>
      </c>
      <c r="G4" s="8" t="inlineStr">
        <is>
          <t>EXEMPLO</t>
        </is>
      </c>
    </row>
    <row r="5" ht="20" customHeight="1">
      <c r="A5" s="9" t="inlineStr">
        <is>
          <t>FLUX REGR COND 001</t>
        </is>
      </c>
      <c r="B5" s="9" t="inlineStr">
        <is>
          <t>RISCO</t>
        </is>
      </c>
      <c r="C5" s="9" t="inlineStr">
        <is>
          <t>MAIOR_OU_IGUAL</t>
        </is>
      </c>
      <c r="D5" s="9" t="inlineStr">
        <is>
          <t>4</t>
        </is>
      </c>
      <c r="E5" s="9" t="inlineStr">
        <is>
          <t>ACIONAR VALIDADOR 2</t>
        </is>
      </c>
      <c r="F5" s="9" t="inlineStr">
        <is>
          <t>1</t>
        </is>
      </c>
      <c r="G5" s="9" t="inlineStr">
        <is>
          <t>RISCO 4 OU 5</t>
        </is>
      </c>
    </row>
    <row r="6" ht="20" customHeight="1">
      <c r="A6" s="9" t="inlineStr">
        <is>
          <t>FLUX REGR COND 002</t>
        </is>
      </c>
      <c r="B6" s="9" t="inlineStr">
        <is>
          <t>TIPO_PROCEDIMENTO</t>
        </is>
      </c>
      <c r="C6" s="9" t="inlineStr">
        <is>
          <t>IGUAL</t>
        </is>
      </c>
      <c r="D6" s="9" t="inlineStr">
        <is>
          <t>INFUSAO</t>
        </is>
      </c>
      <c r="E6" s="9" t="inlineStr">
        <is>
          <t>ACIONAR PROFISSIONAL SAUDE</t>
        </is>
      </c>
      <c r="F6" s="9" t="inlineStr">
        <is>
          <t>1</t>
        </is>
      </c>
      <c r="G6" s="9" t="inlineStr">
        <is>
          <t>PROTOCOLO ENDOVENOSO</t>
        </is>
      </c>
    </row>
    <row r="7" ht="20" customHeight="1">
      <c r="A7" s="9" t="inlineStr">
        <is>
          <t>FLUX REGR COND 003</t>
        </is>
      </c>
      <c r="B7" s="9" t="inlineStr">
        <is>
          <t>PRIMEIRA_CONSULTA</t>
        </is>
      </c>
      <c r="C7" s="9" t="inlineStr">
        <is>
          <t>IGUAL</t>
        </is>
      </c>
      <c r="D7" s="9" t="inlineStr">
        <is>
          <t>SIM</t>
        </is>
      </c>
      <c r="E7" s="9" t="inlineStr">
        <is>
          <t>EXIGIR MEDICO EXECUTOR</t>
        </is>
      </c>
      <c r="F7" s="9" t="inlineStr">
        <is>
          <t>1</t>
        </is>
      </c>
      <c r="G7" s="9" t="inlineStr">
        <is>
          <t>PACIENTE NOVO</t>
        </is>
      </c>
    </row>
    <row r="8" ht="20" customHeight="1">
      <c r="A8" s="9" t="inlineStr">
        <is>
          <t>FLUX REGR COND 004</t>
        </is>
      </c>
      <c r="B8" s="9" t="inlineStr">
        <is>
          <t>PAGAMENTO_STATUS</t>
        </is>
      </c>
      <c r="C8" s="9" t="inlineStr">
        <is>
          <t>DIFERENTE</t>
        </is>
      </c>
      <c r="D8" s="9" t="inlineStr">
        <is>
          <t>APROVADO</t>
        </is>
      </c>
      <c r="E8" s="9" t="inlineStr">
        <is>
          <t>BLOQUEAR NF</t>
        </is>
      </c>
      <c r="F8" s="9" t="inlineStr">
        <is>
          <t>1</t>
        </is>
      </c>
      <c r="G8" s="9" t="inlineStr">
        <is>
          <t>PENDENTE OU REJEITADO</t>
        </is>
      </c>
    </row>
    <row r="9" ht="20" customHeight="1">
      <c r="A9" s="9" t="inlineStr">
        <is>
          <t>FLUX REGR COND 005</t>
        </is>
      </c>
      <c r="B9" s="9" t="inlineStr">
        <is>
          <t>CPF_TOMADOR</t>
        </is>
      </c>
      <c r="C9" s="9" t="inlineStr">
        <is>
          <t>VAZIO</t>
        </is>
      </c>
      <c r="D9" s="9" t="inlineStr"/>
      <c r="E9" s="9" t="inlineStr">
        <is>
          <t>BLOQUEAR NF</t>
        </is>
      </c>
      <c r="F9" s="9" t="inlineStr">
        <is>
          <t>1</t>
        </is>
      </c>
      <c r="G9" s="9" t="inlineStr">
        <is>
          <t>SEM CPF</t>
        </is>
      </c>
    </row>
    <row r="10" ht="20" customHeight="1">
      <c r="A10" s="9" t="inlineStr">
        <is>
          <t>FLUX REGR COND 006</t>
        </is>
      </c>
      <c r="B10" s="9" t="inlineStr">
        <is>
          <t>EMPRESA_TENANT</t>
        </is>
      </c>
      <c r="C10" s="9" t="inlineStr">
        <is>
          <t>TROCOU</t>
        </is>
      </c>
      <c r="D10" s="9" t="inlineStr">
        <is>
          <t>SIM</t>
        </is>
      </c>
      <c r="E10" s="9" t="inlineStr">
        <is>
          <t>RECARREGAR DADOS FISCAIS</t>
        </is>
      </c>
      <c r="F10" s="9" t="inlineStr">
        <is>
          <t>2</t>
        </is>
      </c>
      <c r="G10" s="9" t="inlineStr">
        <is>
          <t>MULTIEMPRESA</t>
        </is>
      </c>
    </row>
    <row r="11" ht="20" customHeight="1">
      <c r="A11" s="9" t="inlineStr">
        <is>
          <t>FLUX REGR COND 007</t>
        </is>
      </c>
      <c r="B11" s="9" t="inlineStr">
        <is>
          <t>BYPASS_SOLICITADO</t>
        </is>
      </c>
      <c r="C11" s="9" t="inlineStr">
        <is>
          <t>IGUAL</t>
        </is>
      </c>
      <c r="D11" s="9" t="inlineStr">
        <is>
          <t>SIM</t>
        </is>
      </c>
      <c r="E11" s="9" t="inlineStr">
        <is>
          <t>EXIGIR JUSTIFICATIVA</t>
        </is>
      </c>
      <c r="F11" s="9" t="inlineStr">
        <is>
          <t>1</t>
        </is>
      </c>
      <c r="G11" s="9" t="inlineStr">
        <is>
          <t>AUDITORIA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4" customWidth="1" min="4" max="4"/>
    <col width="13" customWidth="1" min="5" max="5"/>
    <col width="13" customWidth="1" min="6" max="6"/>
    <col width="14" customWidth="1" min="7" max="7"/>
    <col width="18" customWidth="1" min="8" max="8"/>
    <col width="20" customWidth="1" min="9" max="9"/>
    <col width="16" customWidth="1" min="10" max="10"/>
    <col width="14" customWidth="1" min="11" max="11"/>
    <col width="12" customWidth="1" min="12" max="12"/>
  </cols>
  <sheetData>
    <row r="1" ht="24" customHeight="1">
      <c r="A1" s="6" t="inlineStr">
        <is>
          <t>CENTRAL DE ACIONAMENTO</t>
        </is>
      </c>
    </row>
    <row r="2" ht="20" customHeight="1">
      <c r="A2" s="7" t="inlineStr">
        <is>
          <t>FILA OPERACIONAL COM EXEMPLOS E FORMULAS VISIVEIS</t>
        </is>
      </c>
    </row>
    <row r="3" ht="20" customHeight="1"/>
    <row r="4" ht="20" customHeight="1">
      <c r="A4" s="8" t="inlineStr">
        <is>
          <t>ATENDIMENTO_ID</t>
        </is>
      </c>
      <c r="B4" s="8" t="inlineStr">
        <is>
          <t>TENANT</t>
        </is>
      </c>
      <c r="C4" s="8" t="inlineStr">
        <is>
          <t>PACIENTE</t>
        </is>
      </c>
      <c r="D4" s="8" t="inlineStr">
        <is>
          <t>PROCEDIMENTO</t>
        </is>
      </c>
      <c r="E4" s="8" t="inlineStr">
        <is>
          <t>ETAPA_ATUAL</t>
        </is>
      </c>
      <c r="F4" s="8" t="inlineStr">
        <is>
          <t>RESPONSAVEL</t>
        </is>
      </c>
      <c r="G4" s="8" t="inlineStr">
        <is>
          <t>STATUS_GERAL</t>
        </is>
      </c>
      <c r="H4" s="8" t="inlineStr">
        <is>
          <t>STATUS_PAGAMENTO</t>
        </is>
      </c>
      <c r="I4" s="8" t="inlineStr">
        <is>
          <t>STATUS_NORMALIZADO</t>
        </is>
      </c>
      <c r="J4" s="8" t="inlineStr">
        <is>
          <t>PODE_EMITIR_NF</t>
        </is>
      </c>
      <c r="K4" s="8" t="inlineStr">
        <is>
          <t>PROXIMA_ACAO</t>
        </is>
      </c>
      <c r="L4" s="8" t="inlineStr">
        <is>
          <t>OBS</t>
        </is>
      </c>
    </row>
    <row r="5" ht="20" customHeight="1">
      <c r="A5" s="9" t="inlineStr">
        <is>
          <t>ATEN FILA OPER 001</t>
        </is>
      </c>
      <c r="B5" s="9" t="inlineStr">
        <is>
          <t>EMP001</t>
        </is>
      </c>
      <c r="C5" s="9" t="inlineStr">
        <is>
          <t>PACIENTE TESTE 1</t>
        </is>
      </c>
      <c r="D5" s="9" t="inlineStr">
        <is>
          <t>CONSULTA</t>
        </is>
      </c>
      <c r="E5" s="9" t="inlineStr">
        <is>
          <t>PAGAMENTO</t>
        </is>
      </c>
      <c r="F5" s="9" t="inlineStr">
        <is>
          <t>FINANCEIRO</t>
        </is>
      </c>
      <c r="G5" s="9" t="inlineStr">
        <is>
          <t>EM_ANDAMENTO</t>
        </is>
      </c>
      <c r="H5" s="9" t="inlineStr">
        <is>
          <t>approved</t>
        </is>
      </c>
      <c r="I5" s="9">
        <f>SE(OU(H5="approved";H5="CONFIRMED";H5="RECEIVED";H5="confirmado_manual");"APROVADO";"NAO_APROVADO")</f>
        <v/>
      </c>
      <c r="J5" s="9">
        <f>SE(E(I5="APROVADO";E5="EMISSAO NF");"SIM";"NAO")</f>
        <v/>
      </c>
      <c r="K5" s="9">
        <f>SE(J5="SIM";"ENVIAR PARA BACKEND FISCAL";SE(E5="VALIDACAO 1";"ACIONAR VALIDADOR 1";"AGUARDAR ETAPA"))</f>
        <v/>
      </c>
      <c r="L5" s="9" t="inlineStr"/>
    </row>
    <row r="6" ht="20" customHeight="1">
      <c r="A6" s="9" t="inlineStr">
        <is>
          <t>ATEN FILA OPER 002</t>
        </is>
      </c>
      <c r="B6" s="9" t="inlineStr">
        <is>
          <t>EMP001</t>
        </is>
      </c>
      <c r="C6" s="9" t="inlineStr">
        <is>
          <t>PACIENTE TESTE 2</t>
        </is>
      </c>
      <c r="D6" s="9" t="inlineStr">
        <is>
          <t>INFUSAO</t>
        </is>
      </c>
      <c r="E6" s="9" t="inlineStr">
        <is>
          <t>VALIDACAO 1</t>
        </is>
      </c>
      <c r="F6" s="9" t="inlineStr">
        <is>
          <t>VALIDADOR 1</t>
        </is>
      </c>
      <c r="G6" s="9" t="inlineStr">
        <is>
          <t>PENDENTE</t>
        </is>
      </c>
      <c r="H6" s="9" t="inlineStr">
        <is>
          <t>pending</t>
        </is>
      </c>
      <c r="I6" s="9">
        <f>SE(OU(H6="approved";H6="CONFIRMED";H6="RECEIVED";H6="confirmado_manual");"APROVADO";"NAO_APROVADO")</f>
        <v/>
      </c>
      <c r="J6" s="9">
        <f>SE(E(I6="APROVADO";E6="EMISSAO NF");"SIM";"NAO")</f>
        <v/>
      </c>
      <c r="K6" s="9">
        <f>SE(J6="SIM";"ENVIAR PARA BACKEND FISCAL";SE(E6="VALIDACAO 1";"ACIONAR VALIDADOR 1";"AGUARDAR ETAPA"))</f>
        <v/>
      </c>
      <c r="L6" s="9" t="inlineStr"/>
    </row>
    <row r="7" ht="20" customHeight="1">
      <c r="A7" s="9" t="inlineStr">
        <is>
          <t>ATEN FILA OPER 003</t>
        </is>
      </c>
      <c r="B7" s="9" t="inlineStr">
        <is>
          <t>EMP002</t>
        </is>
      </c>
      <c r="C7" s="9" t="inlineStr">
        <is>
          <t>PACIENTE TESTE 3</t>
        </is>
      </c>
      <c r="D7" s="9" t="inlineStr">
        <is>
          <t>EXAMES</t>
        </is>
      </c>
      <c r="E7" s="9" t="inlineStr">
        <is>
          <t>EMISSAO NF</t>
        </is>
      </c>
      <c r="F7" s="9" t="inlineStr">
        <is>
          <t>FISCAL</t>
        </is>
      </c>
      <c r="G7" s="9" t="inlineStr">
        <is>
          <t>PRONTO</t>
        </is>
      </c>
      <c r="H7" s="9" t="inlineStr">
        <is>
          <t>CONFIRMED</t>
        </is>
      </c>
      <c r="I7" s="9">
        <f>SE(OU(H7="approved";H7="CONFIRMED";H7="RECEIVED";H7="confirmado_manual");"APROVADO";"NAO_APROVADO")</f>
        <v/>
      </c>
      <c r="J7" s="9">
        <f>SE(E(I7="APROVADO";E7="EMISSAO NF");"SIM";"NAO")</f>
        <v/>
      </c>
      <c r="K7" s="9">
        <f>SE(J7="SIM";"ENVIAR PARA BACKEND FISCAL";SE(E7="VALIDACAO 1";"ACIONAR VALIDADOR 1";"AGUARDAR ETAPA"))</f>
        <v/>
      </c>
      <c r="L7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3" customWidth="1" min="3" max="3"/>
    <col width="18" customWidth="1" min="4" max="4"/>
    <col width="12" customWidth="1" min="5" max="5"/>
    <col width="14" customWidth="1" min="6" max="6"/>
    <col width="18" customWidth="1" min="7" max="7"/>
    <col width="30" customWidth="1" min="8" max="8"/>
    <col width="17" customWidth="1" min="9" max="9"/>
    <col width="21" customWidth="1" min="10" max="10"/>
  </cols>
  <sheetData>
    <row r="1" ht="24" customHeight="1">
      <c r="A1" s="6" t="inlineStr">
        <is>
          <t>LOG BYPASS E AUDITORIA</t>
        </is>
      </c>
    </row>
    <row r="2" ht="20" customHeight="1">
      <c r="A2" s="7" t="inlineStr">
        <is>
          <t>REGISTRO OBRIGATORIO DE PULOS DE ETAPA E EVENTOS SENSIVEIS</t>
        </is>
      </c>
    </row>
    <row r="3" ht="20" customHeight="1"/>
    <row r="4" ht="20" customHeight="1">
      <c r="A4" s="8" t="inlineStr">
        <is>
          <t>LOG_ID</t>
        </is>
      </c>
      <c r="B4" s="8" t="inlineStr">
        <is>
          <t>ATENDIMENTO_ID</t>
        </is>
      </c>
      <c r="C4" s="8" t="inlineStr">
        <is>
          <t>ETAPA</t>
        </is>
      </c>
      <c r="D4" s="8" t="inlineStr">
        <is>
          <t>BYPASS_REALIZADO</t>
        </is>
      </c>
      <c r="E4" s="8" t="inlineStr">
        <is>
          <t>USUARIO</t>
        </is>
      </c>
      <c r="F4" s="8" t="inlineStr">
        <is>
          <t>PERFIL</t>
        </is>
      </c>
      <c r="G4" s="8" t="inlineStr">
        <is>
          <t>DATA_HORA</t>
        </is>
      </c>
      <c r="H4" s="8" t="inlineStr">
        <is>
          <t>MOTIVO</t>
        </is>
      </c>
      <c r="I4" s="8" t="inlineStr">
        <is>
          <t>RESULTADO</t>
        </is>
      </c>
      <c r="J4" s="8" t="inlineStr">
        <is>
          <t>OBS</t>
        </is>
      </c>
    </row>
    <row r="5" ht="20" customHeight="1">
      <c r="A5" s="9" t="inlineStr">
        <is>
          <t>AUDI BYPA LOGS 001</t>
        </is>
      </c>
      <c r="B5" s="9" t="inlineStr">
        <is>
          <t>ATEN FLUX EXEC 010</t>
        </is>
      </c>
      <c r="C5" s="9" t="inlineStr">
        <is>
          <t>VALIDACAO 2</t>
        </is>
      </c>
      <c r="D5" s="9" t="inlineStr">
        <is>
          <t>SIM</t>
        </is>
      </c>
      <c r="E5" s="9" t="inlineStr">
        <is>
          <t>DR CAIO</t>
        </is>
      </c>
      <c r="F5" s="9" t="inlineStr">
        <is>
          <t>MEDICO ADMIN</t>
        </is>
      </c>
      <c r="G5" s="9" t="inlineStr">
        <is>
          <t>2026-04-03 13:00</t>
        </is>
      </c>
      <c r="H5" s="9" t="inlineStr">
        <is>
          <t>RISCO JA REVISTO PELO MEDICO</t>
        </is>
      </c>
      <c r="I5" s="9" t="inlineStr">
        <is>
          <t>FLUXO CONTINUOU</t>
        </is>
      </c>
      <c r="J5" s="9" t="inlineStr">
        <is>
          <t>MODELO DE AUDITORIA</t>
        </is>
      </c>
    </row>
    <row r="6" ht="20" customHeight="1">
      <c r="A6" s="9" t="inlineStr">
        <is>
          <t>AUDI BYPA LOGS 002</t>
        </is>
      </c>
      <c r="B6" s="9" t="inlineStr">
        <is>
          <t>ATEN FLUX EXEC 011</t>
        </is>
      </c>
      <c r="C6" s="9" t="inlineStr">
        <is>
          <t>EMISSAO NF</t>
        </is>
      </c>
      <c r="D6" s="9" t="inlineStr">
        <is>
          <t>NAO</t>
        </is>
      </c>
      <c r="E6" s="9" t="inlineStr">
        <is>
          <t>SISTEMA</t>
        </is>
      </c>
      <c r="F6" s="9" t="inlineStr">
        <is>
          <t>BACKEND</t>
        </is>
      </c>
      <c r="G6" s="9" t="inlineStr">
        <is>
          <t>2026-04-03 13:05</t>
        </is>
      </c>
      <c r="H6" s="9" t="inlineStr">
        <is>
          <t>PAGAMENTO PENDENTE</t>
        </is>
      </c>
      <c r="I6" s="9" t="inlineStr">
        <is>
          <t>NF BLOQUEADA</t>
        </is>
      </c>
      <c r="J6" s="9" t="inlineStr">
        <is>
          <t>TRAVA FISCAL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25" customWidth="1" min="3" max="3"/>
    <col width="24" customWidth="1" min="4" max="4"/>
    <col width="25" customWidth="1" min="5" max="5"/>
    <col width="32" customWidth="1" min="6" max="6"/>
  </cols>
  <sheetData>
    <row r="1" ht="24" customHeight="1">
      <c r="A1" s="6" t="inlineStr">
        <is>
          <t>FISCAL MAPA OPERACIONAL</t>
        </is>
      </c>
    </row>
    <row r="2" ht="20" customHeight="1">
      <c r="A2" s="7" t="inlineStr">
        <is>
          <t>ORDEM DA ESTEIRA DE EMISSAO FISCAL</t>
        </is>
      </c>
    </row>
    <row r="3" ht="20" customHeight="1"/>
    <row r="4" ht="20" customHeight="1">
      <c r="A4" s="8" t="inlineStr">
        <is>
          <t>ETAPA</t>
        </is>
      </c>
      <c r="B4" s="8" t="inlineStr">
        <is>
          <t>ENTRADA</t>
        </is>
      </c>
      <c r="C4" s="8" t="inlineStr">
        <is>
          <t>PROCESSAMENTO</t>
        </is>
      </c>
      <c r="D4" s="8" t="inlineStr">
        <is>
          <t>SAIDA</t>
        </is>
      </c>
      <c r="E4" s="8" t="inlineStr">
        <is>
          <t>TRAVA</t>
        </is>
      </c>
      <c r="F4" s="8" t="inlineStr">
        <is>
          <t>ACAO_SE_ERRO</t>
        </is>
      </c>
    </row>
    <row r="5" ht="20" customHeight="1">
      <c r="A5" s="9" t="inlineStr">
        <is>
          <t>PAGAMENTO CONFIRMADO</t>
        </is>
      </c>
      <c r="B5" s="9" t="inlineStr">
        <is>
          <t>gateway + status</t>
        </is>
      </c>
      <c r="C5" s="9" t="inlineStr">
        <is>
          <t>normalizar status</t>
        </is>
      </c>
      <c r="D5" s="9" t="inlineStr">
        <is>
          <t>pagamento_aprovado=SIM</t>
        </is>
      </c>
      <c r="E5" s="9" t="inlineStr">
        <is>
          <t>status invalido</t>
        </is>
      </c>
      <c r="F5" s="9" t="inlineStr">
        <is>
          <t>bloquear NF</t>
        </is>
      </c>
    </row>
    <row r="6" ht="20" customHeight="1">
      <c r="A6" s="9" t="inlineStr">
        <is>
          <t>VALIDACAO FISCAL</t>
        </is>
      </c>
      <c r="B6" s="9" t="inlineStr">
        <is>
          <t>CPF nome valor empresa procedimento</t>
        </is>
      </c>
      <c r="C6" s="9" t="inlineStr">
        <is>
          <t>checar obrigatorios</t>
        </is>
      </c>
      <c r="D6" s="9" t="inlineStr">
        <is>
          <t>apto_fiscal=SIM</t>
        </is>
      </c>
      <c r="E6" s="9" t="inlineStr">
        <is>
          <t>campo ausente</t>
        </is>
      </c>
      <c r="F6" s="9" t="inlineStr">
        <is>
          <t>exigir revisao humana</t>
        </is>
      </c>
    </row>
    <row r="7" ht="20" customHeight="1">
      <c r="A7" s="9" t="inlineStr">
        <is>
          <t>CLASSIFICACAO SEMANTICA</t>
        </is>
      </c>
      <c r="B7" s="9" t="inlineStr">
        <is>
          <t>categoria subcategoria codigo</t>
        </is>
      </c>
      <c r="C7" s="9" t="inlineStr">
        <is>
          <t>mapear template</t>
        </is>
      </c>
      <c r="D7" s="9" t="inlineStr">
        <is>
          <t>texto_base_nf</t>
        </is>
      </c>
      <c r="E7" s="9" t="inlineStr">
        <is>
          <t>sem correspondencia</t>
        </is>
      </c>
      <c r="F7" s="9" t="inlineStr">
        <is>
          <t>fila de revisao</t>
        </is>
      </c>
    </row>
    <row r="8" ht="20" customHeight="1">
      <c r="A8" s="9" t="inlineStr">
        <is>
          <t>GERACAO TEXTO</t>
        </is>
      </c>
      <c r="B8" s="9" t="inlineStr">
        <is>
          <t>template + variaveis</t>
        </is>
      </c>
      <c r="C8" s="9" t="inlineStr">
        <is>
          <t>concatenacao controlada</t>
        </is>
      </c>
      <c r="D8" s="9" t="inlineStr">
        <is>
          <t>texto_nf_final</t>
        </is>
      </c>
      <c r="E8" s="9" t="inlineStr">
        <is>
          <t>texto generico ou vazio</t>
        </is>
      </c>
      <c r="F8" s="9" t="inlineStr">
        <is>
          <t>bloquear emissao</t>
        </is>
      </c>
    </row>
    <row r="9" ht="20" customHeight="1">
      <c r="A9" s="9" t="inlineStr">
        <is>
          <t>EMISSAO</t>
        </is>
      </c>
      <c r="B9" s="9" t="inlineStr">
        <is>
          <t>payload fiscal</t>
        </is>
      </c>
      <c r="C9" s="9" t="inlineStr">
        <is>
          <t>envio ao backend</t>
        </is>
      </c>
      <c r="D9" s="9" t="inlineStr">
        <is>
          <t>NF emitida</t>
        </is>
      </c>
      <c r="E9" s="9" t="inlineStr">
        <is>
          <t>erro API</t>
        </is>
      </c>
      <c r="F9" s="9" t="inlineStr">
        <is>
          <t>registrar falha e reenfileirar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3" customWidth="1" min="3" max="3"/>
    <col width="13" customWidth="1" min="4" max="4"/>
    <col width="12" customWidth="1" min="5" max="5"/>
    <col width="15" customWidth="1" min="6" max="6"/>
    <col width="24" customWidth="1" min="7" max="7"/>
    <col width="28" customWidth="1" min="8" max="8"/>
  </cols>
  <sheetData>
    <row r="1" ht="24" customHeight="1">
      <c r="A1" s="6" t="inlineStr">
        <is>
          <t>FISCAL GATEWAYS</t>
        </is>
      </c>
    </row>
    <row r="2" ht="20" customHeight="1">
      <c r="A2" s="7" t="inlineStr">
        <is>
          <t>NORMALIZACAO DE GATEWAYS E REGRAS DE LIBERACAO</t>
        </is>
      </c>
    </row>
    <row r="3" ht="20" customHeight="1"/>
    <row r="4" ht="20" customHeight="1">
      <c r="A4" s="8" t="inlineStr">
        <is>
          <t>GATEWAY</t>
        </is>
      </c>
      <c r="B4" s="8" t="inlineStr">
        <is>
          <t>STATUS_ORIGEM</t>
        </is>
      </c>
      <c r="C4" s="8" t="inlineStr">
        <is>
          <t>STATUS_INTERNO_PADRAO</t>
        </is>
      </c>
      <c r="D4" s="8" t="inlineStr">
        <is>
          <t>GERA_RECIBO</t>
        </is>
      </c>
      <c r="E4" s="8" t="inlineStr">
        <is>
          <t>LIBERA_NF</t>
        </is>
      </c>
      <c r="F4" s="8" t="inlineStr">
        <is>
          <t>EXIGE_REVISAO</t>
        </is>
      </c>
      <c r="G4" s="8" t="inlineStr">
        <is>
          <t>OBSERVACAO</t>
        </is>
      </c>
      <c r="H4" s="8" t="inlineStr">
        <is>
          <t>STATUS_NORMALIZADO_EXEMPLO</t>
        </is>
      </c>
    </row>
    <row r="5" ht="20" customHeight="1">
      <c r="A5" s="9" t="inlineStr">
        <is>
          <t>ASAAS</t>
        </is>
      </c>
      <c r="B5" s="9" t="inlineStr">
        <is>
          <t>RECEIVED</t>
        </is>
      </c>
      <c r="C5" s="9" t="inlineStr">
        <is>
          <t>APROVADO</t>
        </is>
      </c>
      <c r="D5" s="9" t="inlineStr">
        <is>
          <t>SIM</t>
        </is>
      </c>
      <c r="E5" s="9" t="inlineStr">
        <is>
          <t>SIM</t>
        </is>
      </c>
      <c r="F5" s="9" t="inlineStr">
        <is>
          <t>NAO</t>
        </is>
      </c>
      <c r="G5" s="9" t="inlineStr">
        <is>
          <t>pagamento confirmado</t>
        </is>
      </c>
      <c r="H5" s="9">
        <f>SE(OU(B5="approved";B5="CONFIRMED";B5="RECEIVED";B5="confirmado_manual");"APROVADO";"NAO_APROVADO")</f>
        <v/>
      </c>
    </row>
    <row r="6" ht="20" customHeight="1">
      <c r="A6" s="9" t="inlineStr">
        <is>
          <t>ASAAS</t>
        </is>
      </c>
      <c r="B6" s="9" t="inlineStr">
        <is>
          <t>PENDING</t>
        </is>
      </c>
      <c r="C6" s="9" t="inlineStr">
        <is>
          <t>PENDENTE</t>
        </is>
      </c>
      <c r="D6" s="9" t="inlineStr">
        <is>
          <t>NAO</t>
        </is>
      </c>
      <c r="E6" s="9" t="inlineStr">
        <is>
          <t>NAO</t>
        </is>
      </c>
      <c r="F6" s="9" t="inlineStr">
        <is>
          <t>NAO</t>
        </is>
      </c>
      <c r="G6" s="9" t="inlineStr">
        <is>
          <t>aguardar liquidacao</t>
        </is>
      </c>
      <c r="H6" s="9">
        <f>SE(OU(B6="approved";B6="CONFIRMED";B6="RECEIVED";B6="confirmado_manual");"APROVADO";"NAO_APROVADO")</f>
        <v/>
      </c>
    </row>
    <row r="7" ht="20" customHeight="1">
      <c r="A7" s="9" t="inlineStr">
        <is>
          <t>MERCADO PAGO</t>
        </is>
      </c>
      <c r="B7" s="9" t="inlineStr">
        <is>
          <t>approved</t>
        </is>
      </c>
      <c r="C7" s="9" t="inlineStr">
        <is>
          <t>APROVADO</t>
        </is>
      </c>
      <c r="D7" s="9" t="inlineStr">
        <is>
          <t>SIM</t>
        </is>
      </c>
      <c r="E7" s="9" t="inlineStr">
        <is>
          <t>SIM</t>
        </is>
      </c>
      <c r="F7" s="9" t="inlineStr">
        <is>
          <t>NAO</t>
        </is>
      </c>
      <c r="G7" s="9" t="inlineStr">
        <is>
          <t>pagamento aprovado</t>
        </is>
      </c>
      <c r="H7" s="9">
        <f>SE(OU(B7="approved";B7="CONFIRMED";B7="RECEIVED";B7="confirmado_manual");"APROVADO";"NAO_APROVADO")</f>
        <v/>
      </c>
    </row>
    <row r="8" ht="20" customHeight="1">
      <c r="A8" s="9" t="inlineStr">
        <is>
          <t>MERCADO PAGO</t>
        </is>
      </c>
      <c r="B8" s="9" t="inlineStr">
        <is>
          <t>pending</t>
        </is>
      </c>
      <c r="C8" s="9" t="inlineStr">
        <is>
          <t>PENDENTE</t>
        </is>
      </c>
      <c r="D8" s="9" t="inlineStr">
        <is>
          <t>NAO</t>
        </is>
      </c>
      <c r="E8" s="9" t="inlineStr">
        <is>
          <t>NAO</t>
        </is>
      </c>
      <c r="F8" s="9" t="inlineStr">
        <is>
          <t>NAO</t>
        </is>
      </c>
      <c r="G8" s="9" t="inlineStr">
        <is>
          <t>aguardar aprovacao</t>
        </is>
      </c>
      <c r="H8" s="9">
        <f>SE(OU(B8="approved";B8="CONFIRMED";B8="RECEIVED";B8="confirmado_manual");"APROVADO";"NAO_APROVADO")</f>
        <v/>
      </c>
    </row>
    <row r="9" ht="20" customHeight="1">
      <c r="A9" s="9" t="inlineStr">
        <is>
          <t>MERCADO PAGO</t>
        </is>
      </c>
      <c r="B9" s="9" t="inlineStr">
        <is>
          <t>in_process</t>
        </is>
      </c>
      <c r="C9" s="9" t="inlineStr">
        <is>
          <t>EM_ANALISE</t>
        </is>
      </c>
      <c r="D9" s="9" t="inlineStr">
        <is>
          <t>NAO</t>
        </is>
      </c>
      <c r="E9" s="9" t="inlineStr">
        <is>
          <t>NAO</t>
        </is>
      </c>
      <c r="F9" s="9" t="inlineStr">
        <is>
          <t>SIM</t>
        </is>
      </c>
      <c r="G9" s="9" t="inlineStr">
        <is>
          <t>revisar antifraude</t>
        </is>
      </c>
      <c r="H9" s="9">
        <f>SE(OU(B9="approved";B9="CONFIRMED";B9="RECEIVED";B9="confirmado_manual");"APROVADO";"NAO_APROVADO")</f>
        <v/>
      </c>
    </row>
    <row r="10" ht="20" customHeight="1">
      <c r="A10" s="9" t="inlineStr">
        <is>
          <t>PIX MANUAL</t>
        </is>
      </c>
      <c r="B10" s="9" t="inlineStr">
        <is>
          <t>confirmado_manual</t>
        </is>
      </c>
      <c r="C10" s="9" t="inlineStr">
        <is>
          <t>APROVADO</t>
        </is>
      </c>
      <c r="D10" s="9" t="inlineStr">
        <is>
          <t>SIM</t>
        </is>
      </c>
      <c r="E10" s="9" t="inlineStr">
        <is>
          <t>SIM</t>
        </is>
      </c>
      <c r="F10" s="9" t="inlineStr">
        <is>
          <t>SIM</t>
        </is>
      </c>
      <c r="G10" s="9" t="inlineStr">
        <is>
          <t>exige auditoria humana</t>
        </is>
      </c>
      <c r="H10" s="9">
        <f>SE(OU(B10="approved";B10="CONFIRMED";B10="RECEIVED";B10="confirmado_manual");"APROVADO";"NAO_APROVADO")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9" customWidth="1" min="3" max="3"/>
    <col width="39" customWidth="1" min="4" max="4"/>
    <col width="42" customWidth="1" min="5" max="5"/>
    <col width="20" customWidth="1" min="6" max="6"/>
    <col width="20" customWidth="1" min="7" max="7"/>
    <col width="17" customWidth="1" min="8" max="8"/>
    <col width="22" customWidth="1" min="9" max="9"/>
    <col width="22" customWidth="1" min="10" max="10"/>
    <col width="12" customWidth="1" min="11" max="11"/>
  </cols>
  <sheetData>
    <row r="1" ht="24" customHeight="1">
      <c r="A1" s="6" t="inlineStr">
        <is>
          <t>FISCAL PROCEDIMENTOS</t>
        </is>
      </c>
    </row>
    <row r="2" ht="20" customHeight="1">
      <c r="A2" s="7" t="inlineStr">
        <is>
          <t>CATALOGO FISCAL MINIMO PARA O MOTOR</t>
        </is>
      </c>
    </row>
    <row r="3" ht="20" customHeight="1"/>
    <row r="4" ht="20" customHeight="1">
      <c r="A4" s="8" t="inlineStr">
        <is>
          <t>CODIGO_INTERNO</t>
        </is>
      </c>
      <c r="B4" s="8" t="inlineStr">
        <is>
          <t>CATEGORIA</t>
        </is>
      </c>
      <c r="C4" s="8" t="inlineStr">
        <is>
          <t>SUBCATEGORIA</t>
        </is>
      </c>
      <c r="D4" s="8" t="inlineStr">
        <is>
          <t>NOME_EXIBICAO</t>
        </is>
      </c>
      <c r="E4" s="8" t="inlineStr">
        <is>
          <t>TEXTO_BASE_NF</t>
        </is>
      </c>
      <c r="F4" s="8" t="inlineStr">
        <is>
          <t>PERMITE_QUANTIDADE</t>
        </is>
      </c>
      <c r="G4" s="8" t="inlineStr">
        <is>
          <t>PERMITE_FREQUENCIA</t>
        </is>
      </c>
      <c r="H4" s="8" t="inlineStr">
        <is>
          <t>PERMITE_DURACAO</t>
        </is>
      </c>
      <c r="I4" s="8" t="inlineStr">
        <is>
          <t>EXIGE_CODIGO_INTERNO</t>
        </is>
      </c>
      <c r="J4" s="8" t="inlineStr">
        <is>
          <t>EXIGE_REVISAO_HUMANA</t>
        </is>
      </c>
      <c r="K4" s="8" t="inlineStr">
        <is>
          <t>MODO_TEXTO</t>
        </is>
      </c>
    </row>
    <row r="5" ht="20" customHeight="1">
      <c r="A5" s="9" t="inlineStr">
        <is>
          <t>FISC CONS INTE 001</t>
        </is>
      </c>
      <c r="B5" s="9" t="inlineStr">
        <is>
          <t>CONSULTA</t>
        </is>
      </c>
      <c r="C5" s="9" t="inlineStr">
        <is>
          <t>CONSULTA INTEGRATIVA</t>
        </is>
      </c>
      <c r="D5" s="9" t="inlineStr">
        <is>
          <t>Consulta medica integrativa</t>
        </is>
      </c>
      <c r="E5" s="9" t="inlineStr">
        <is>
          <t>HONORARIOS MEDICOS REFERENTES A CONSULTA MEDICA INTEGRATIVA.</t>
        </is>
      </c>
      <c r="F5" s="9" t="inlineStr">
        <is>
          <t>NAO</t>
        </is>
      </c>
      <c r="G5" s="9" t="inlineStr">
        <is>
          <t>NAO</t>
        </is>
      </c>
      <c r="H5" s="9" t="inlineStr">
        <is>
          <t>NAO</t>
        </is>
      </c>
      <c r="I5" s="9" t="inlineStr">
        <is>
          <t>SIM</t>
        </is>
      </c>
      <c r="J5" s="9" t="inlineStr">
        <is>
          <t>NAO</t>
        </is>
      </c>
      <c r="K5" s="9" t="inlineStr">
        <is>
          <t>RESUMO</t>
        </is>
      </c>
    </row>
    <row r="6" ht="20" customHeight="1">
      <c r="A6" s="9" t="inlineStr">
        <is>
          <t>FISC EXAM GUIA 001</t>
        </is>
      </c>
      <c r="B6" s="9" t="inlineStr">
        <is>
          <t>EXAMES</t>
        </is>
      </c>
      <c r="C6" s="9" t="inlineStr">
        <is>
          <t>EMISSAO DE GUIAS</t>
        </is>
      </c>
      <c r="D6" s="9" t="inlineStr">
        <is>
          <t>Emissao de guias de exames</t>
        </is>
      </c>
      <c r="E6" s="9" t="inlineStr">
        <is>
          <t>HONORARIOS MEDICOS REFERENTES A EMISSAO DE GUIAS DE EXAMES E ORIENTACAO CLINICA CORRELATA.</t>
        </is>
      </c>
      <c r="F6" s="9" t="inlineStr">
        <is>
          <t>NAO</t>
        </is>
      </c>
      <c r="G6" s="9" t="inlineStr">
        <is>
          <t>NAO</t>
        </is>
      </c>
      <c r="H6" s="9" t="inlineStr">
        <is>
          <t>NAO</t>
        </is>
      </c>
      <c r="I6" s="9" t="inlineStr">
        <is>
          <t>SIM</t>
        </is>
      </c>
      <c r="J6" s="9" t="inlineStr">
        <is>
          <t>NAO</t>
        </is>
      </c>
      <c r="K6" s="9" t="inlineStr">
        <is>
          <t>RESUMO</t>
        </is>
      </c>
    </row>
    <row r="7" ht="20" customHeight="1">
      <c r="A7" s="9" t="inlineStr">
        <is>
          <t>FISC EXAM SOLI 002</t>
        </is>
      </c>
      <c r="B7" s="9" t="inlineStr">
        <is>
          <t>EXAMES</t>
        </is>
      </c>
      <c r="C7" s="9" t="inlineStr">
        <is>
          <t>SOLICITACAO E INTERPRETACAO</t>
        </is>
      </c>
      <c r="D7" s="9" t="inlineStr">
        <is>
          <t>Solicitacao de exames laboratoriais</t>
        </is>
      </c>
      <c r="E7" s="9" t="inlineStr">
        <is>
          <t>HONORARIOS MEDICOS REFERENTES A SOLICITACAO E INTERPRETACAO CLINICA DE EXAMES LABORATORIAIS.</t>
        </is>
      </c>
      <c r="F7" s="9" t="inlineStr">
        <is>
          <t>NAO</t>
        </is>
      </c>
      <c r="G7" s="9" t="inlineStr">
        <is>
          <t>NAO</t>
        </is>
      </c>
      <c r="H7" s="9" t="inlineStr">
        <is>
          <t>NAO</t>
        </is>
      </c>
      <c r="I7" s="9" t="inlineStr">
        <is>
          <t>SIM</t>
        </is>
      </c>
      <c r="J7" s="9" t="inlineStr">
        <is>
          <t>SIM</t>
        </is>
      </c>
      <c r="K7" s="9" t="inlineStr">
        <is>
          <t>DETALHADO</t>
        </is>
      </c>
    </row>
    <row r="8" ht="20" customHeight="1">
      <c r="A8" s="9" t="inlineStr">
        <is>
          <t>FISC INFU ANTI 001</t>
        </is>
      </c>
      <c r="B8" s="9" t="inlineStr">
        <is>
          <t>INFUSAO</t>
        </is>
      </c>
      <c r="C8" s="9" t="inlineStr">
        <is>
          <t>SORO ANTIOXIDANTE</t>
        </is>
      </c>
      <c r="D8" s="9" t="inlineStr">
        <is>
          <t>Soro antioxidante endovenoso</t>
        </is>
      </c>
      <c r="E8" s="9" t="inlineStr">
        <is>
          <t>HONORARIOS MEDICOS REFERENTES A PROTOCOLO INJETAVEL ENDOVENOSO TIPO SORO ANTIOXIDANTE.</t>
        </is>
      </c>
      <c r="F8" s="9" t="inlineStr">
        <is>
          <t>SIM</t>
        </is>
      </c>
      <c r="G8" s="9" t="inlineStr">
        <is>
          <t>SIM</t>
        </is>
      </c>
      <c r="H8" s="9" t="inlineStr">
        <is>
          <t>SIM</t>
        </is>
      </c>
      <c r="I8" s="9" t="inlineStr">
        <is>
          <t>SIM</t>
        </is>
      </c>
      <c r="J8" s="9" t="inlineStr">
        <is>
          <t>NAO</t>
        </is>
      </c>
      <c r="K8" s="9" t="inlineStr">
        <is>
          <t>DETALHADO</t>
        </is>
      </c>
    </row>
    <row r="9" ht="20" customHeight="1">
      <c r="A9" s="9" t="inlineStr">
        <is>
          <t>FISC INFU MICR 002</t>
        </is>
      </c>
      <c r="B9" s="9" t="inlineStr">
        <is>
          <t>INFUSAO</t>
        </is>
      </c>
      <c r="C9" s="9" t="inlineStr">
        <is>
          <t>MICRONUTRIENTES</t>
        </is>
      </c>
      <c r="D9" s="9" t="inlineStr">
        <is>
          <t>Infusao endovenosa de micronutrientes</t>
        </is>
      </c>
      <c r="E9" s="9" t="inlineStr">
        <is>
          <t>HONORARIOS MEDICOS REFERENTES A INFUSAO ENDOVENOSA ASSISTIDA DE MICRONUTRIENTES.</t>
        </is>
      </c>
      <c r="F9" s="9" t="inlineStr">
        <is>
          <t>SIM</t>
        </is>
      </c>
      <c r="G9" s="9" t="inlineStr">
        <is>
          <t>SIM</t>
        </is>
      </c>
      <c r="H9" s="9" t="inlineStr">
        <is>
          <t>SIM</t>
        </is>
      </c>
      <c r="I9" s="9" t="inlineStr">
        <is>
          <t>SIM</t>
        </is>
      </c>
      <c r="J9" s="9" t="inlineStr">
        <is>
          <t>SIM</t>
        </is>
      </c>
      <c r="K9" s="9" t="inlineStr">
        <is>
          <t>DETALHADO</t>
        </is>
      </c>
    </row>
    <row r="10" ht="20" customHeight="1">
      <c r="A10" s="9" t="inlineStr">
        <is>
          <t>FISC INJE VITA 001</t>
        </is>
      </c>
      <c r="B10" s="9" t="inlineStr">
        <is>
          <t>INJETAVEL</t>
        </is>
      </c>
      <c r="C10" s="9" t="inlineStr">
        <is>
          <t>VITAMINA IM</t>
        </is>
      </c>
      <c r="D10" s="9" t="inlineStr">
        <is>
          <t>Aplicacao injetavel intramuscular</t>
        </is>
      </c>
      <c r="E10" s="9" t="inlineStr">
        <is>
          <t>HONORARIOS MEDICOS REFERENTES A APLICACAO TERAPEUTICA INJETAVEL INTRAMUSCULAR ASSISTIDA.</t>
        </is>
      </c>
      <c r="F10" s="9" t="inlineStr">
        <is>
          <t>SIM</t>
        </is>
      </c>
      <c r="G10" s="9" t="inlineStr">
        <is>
          <t>SIM</t>
        </is>
      </c>
      <c r="H10" s="9" t="inlineStr">
        <is>
          <t>NAO</t>
        </is>
      </c>
      <c r="I10" s="9" t="inlineStr">
        <is>
          <t>SIM</t>
        </is>
      </c>
      <c r="J10" s="9" t="inlineStr">
        <is>
          <t>NAO</t>
        </is>
      </c>
      <c r="K10" s="9" t="inlineStr">
        <is>
          <t>RESUMO</t>
        </is>
      </c>
    </row>
    <row r="11" ht="20" customHeight="1">
      <c r="A11" s="9" t="inlineStr">
        <is>
          <t>FISC RETO REAV 001</t>
        </is>
      </c>
      <c r="B11" s="9" t="inlineStr">
        <is>
          <t>RETORNO</t>
        </is>
      </c>
      <c r="C11" s="9" t="inlineStr">
        <is>
          <t>RETORNO ASSISTIDO</t>
        </is>
      </c>
      <c r="D11" s="9" t="inlineStr">
        <is>
          <t>Retorno medico assistido</t>
        </is>
      </c>
      <c r="E11" s="9" t="inlineStr">
        <is>
          <t>HONORARIOS MEDICOS REFERENTES A RETORNO MEDICO E REAVALIACAO CLINICA.</t>
        </is>
      </c>
      <c r="F11" s="9" t="inlineStr">
        <is>
          <t>NAO</t>
        </is>
      </c>
      <c r="G11" s="9" t="inlineStr">
        <is>
          <t>NAO</t>
        </is>
      </c>
      <c r="H11" s="9" t="inlineStr">
        <is>
          <t>NAO</t>
        </is>
      </c>
      <c r="I11" s="9" t="inlineStr">
        <is>
          <t>SIM</t>
        </is>
      </c>
      <c r="J11" s="9" t="inlineStr">
        <is>
          <t>NAO</t>
        </is>
      </c>
      <c r="K11" s="9" t="inlineStr">
        <is>
          <t>RESUMO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1" customWidth="1" min="3" max="3"/>
    <col width="29" customWidth="1" min="4" max="4"/>
    <col width="21" customWidth="1" min="5" max="5"/>
    <col width="15" customWidth="1" min="6" max="6"/>
    <col width="12" customWidth="1" min="7" max="7"/>
    <col width="42" customWidth="1" min="8" max="8"/>
    <col width="16" customWidth="1" min="9" max="9"/>
  </cols>
  <sheetData>
    <row r="1" ht="24" customHeight="1">
      <c r="A1" s="6" t="inlineStr">
        <is>
          <t>FISCAL TEXTO NF</t>
        </is>
      </c>
    </row>
    <row r="2" ht="20" customHeight="1">
      <c r="A2" s="7" t="inlineStr">
        <is>
          <t>TEMPLATES E EXEMPLOS COM FORMULAS VISIVEIS</t>
        </is>
      </c>
    </row>
    <row r="3" ht="20" customHeight="1"/>
    <row r="4" ht="20" customHeight="1">
      <c r="A4" s="8" t="inlineStr">
        <is>
          <t>REGRA_ID</t>
        </is>
      </c>
      <c r="B4" s="8" t="inlineStr">
        <is>
          <t>CATEGORIA</t>
        </is>
      </c>
      <c r="C4" s="8" t="inlineStr">
        <is>
          <t>CONDICAO</t>
        </is>
      </c>
      <c r="D4" s="8" t="inlineStr">
        <is>
          <t>NOME_EXIBICAO</t>
        </is>
      </c>
      <c r="E4" s="8" t="inlineStr">
        <is>
          <t>QUANTIDADE_UNIDADES</t>
        </is>
      </c>
      <c r="F4" s="8" t="inlineStr">
        <is>
          <t>DURACAO_MEDIA</t>
        </is>
      </c>
      <c r="G4" s="8" t="inlineStr">
        <is>
          <t>FREQUENCIA</t>
        </is>
      </c>
      <c r="H4" s="8" t="inlineStr">
        <is>
          <t>TEXTO_TEMPLATE</t>
        </is>
      </c>
      <c r="I4" s="8" t="inlineStr">
        <is>
          <t>TEXTO_NF_FINAL</t>
        </is>
      </c>
    </row>
    <row r="5" ht="20" customHeight="1">
      <c r="A5" s="9" t="inlineStr">
        <is>
          <t>FISC TEXT CONS 001</t>
        </is>
      </c>
      <c r="B5" s="9" t="inlineStr">
        <is>
          <t>CONSULTA</t>
        </is>
      </c>
      <c r="C5" s="9" t="inlineStr">
        <is>
          <t>CATEGORIA=CONSULTA</t>
        </is>
      </c>
      <c r="D5" s="9" t="inlineStr">
        <is>
          <t>CONSULTA MEDICA INTEGRATIVA</t>
        </is>
      </c>
      <c r="E5" s="9" t="inlineStr"/>
      <c r="F5" s="9" t="inlineStr"/>
      <c r="G5" s="9" t="inlineStr"/>
      <c r="H5" s="9" t="inlineStr">
        <is>
          <t>HONORARIOS MEDICOS REFERENTES A {NOME_EXIBICAO}.</t>
        </is>
      </c>
      <c r="I5" s="9">
        <f>"HONORARIOS MEDICOS REFERENTES A "&amp;D5&amp;"."</f>
        <v/>
      </c>
    </row>
    <row r="6" ht="20" customHeight="1">
      <c r="A6" s="9" t="inlineStr">
        <is>
          <t>FISC TEXT EXAM 002</t>
        </is>
      </c>
      <c r="B6" s="9" t="inlineStr">
        <is>
          <t>EXAMES</t>
        </is>
      </c>
      <c r="C6" s="9" t="inlineStr">
        <is>
          <t>SUBCATEGORIA=EMISSAO DE GUIAS</t>
        </is>
      </c>
      <c r="D6" s="9" t="inlineStr">
        <is>
          <t>EMISSAO DE GUIAS DE EXAMES</t>
        </is>
      </c>
      <c r="E6" s="9" t="inlineStr"/>
      <c r="F6" s="9" t="inlineStr"/>
      <c r="G6" s="9" t="inlineStr"/>
      <c r="H6" s="9" t="inlineStr">
        <is>
          <t>HONORARIOS MEDICOS REFERENTES A EMISSAO DE GUIAS DE EXAMES E ORIENTACAO CLINICA CORRELATA.</t>
        </is>
      </c>
      <c r="I6" s="9">
        <f>H6</f>
        <v/>
      </c>
    </row>
    <row r="7" ht="20" customHeight="1">
      <c r="A7" s="9" t="inlineStr">
        <is>
          <t>FISC TEXT INFU 003</t>
        </is>
      </c>
      <c r="B7" s="9" t="inlineStr">
        <is>
          <t>INFUSAO</t>
        </is>
      </c>
      <c r="C7" s="9" t="inlineStr">
        <is>
          <t>CATEGORIA=INFUSAO</t>
        </is>
      </c>
      <c r="D7" s="9" t="inlineStr">
        <is>
          <t>SORO ANTIOXIDANTE</t>
        </is>
      </c>
      <c r="E7" s="9" t="inlineStr">
        <is>
          <t>1</t>
        </is>
      </c>
      <c r="F7" s="9" t="inlineStr">
        <is>
          <t>60 MINUTOS</t>
        </is>
      </c>
      <c r="G7" s="9" t="inlineStr">
        <is>
          <t>SEMANAL</t>
        </is>
      </c>
      <c r="H7" s="9" t="inlineStr">
        <is>
          <t>HONORARIOS MEDICOS REFERENTES A PROTOCOLO INJETAVEL ENDOVENOSO TIPO {NOME_EXIBICAO}, COM {QTD} UNIDADE(S), DURACAO MEDIA DE {DURACAO}, FREQUENCIA {FREQ}.</t>
        </is>
      </c>
      <c r="I7" s="9">
        <f>"HONORARIOS MEDICOS REFERENTES A PROTOCOLO INJETAVEL ENDOVENOSO TIPO "&amp;D7&amp;", COM "&amp;E7&amp;" UNIDADE(S), DURACAO MEDIA DE "&amp;F7&amp;", FREQUENCIA "&amp;G7&amp;"."</f>
        <v/>
      </c>
    </row>
    <row r="8" ht="20" customHeight="1">
      <c r="A8" s="9" t="inlineStr">
        <is>
          <t>FISC TEXT INJE 004</t>
        </is>
      </c>
      <c r="B8" s="9" t="inlineStr">
        <is>
          <t>INJETAVEL</t>
        </is>
      </c>
      <c r="C8" s="9" t="inlineStr">
        <is>
          <t>CATEGORIA=INJETAVEL</t>
        </is>
      </c>
      <c r="D8" s="9" t="inlineStr">
        <is>
          <t>VITAMINA INTRAMUSCULAR</t>
        </is>
      </c>
      <c r="E8" s="9" t="inlineStr">
        <is>
          <t>1</t>
        </is>
      </c>
      <c r="F8" s="9" t="inlineStr"/>
      <c r="G8" s="9" t="inlineStr"/>
      <c r="H8" s="9" t="inlineStr">
        <is>
          <t>HONORARIOS MEDICOS REFERENTES A APLICACAO TERAPEUTICA INJETAVEL DE {NOME_EXIBICAO}, QUANTIDADE {QTD}.</t>
        </is>
      </c>
      <c r="I8" s="9">
        <f>"HONORARIOS MEDICOS REFERENTES A APLICACAO TERAPEUTICA INJETAVEL DE "&amp;D8&amp;", QUANTIDADE "&amp;E8&amp;"."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33" customWidth="1" min="2" max="2"/>
    <col width="21" customWidth="1" min="3" max="3"/>
    <col width="42" customWidth="1" min="4" max="4"/>
    <col width="18" customWidth="1" min="5" max="5"/>
    <col width="12" customWidth="1" min="6" max="6"/>
    <col width="21" customWidth="1" min="7" max="7"/>
  </cols>
  <sheetData>
    <row r="1" ht="24" customHeight="1">
      <c r="A1" s="6" t="inlineStr">
        <is>
          <t>FISCAL TESTES SEMANTICOS</t>
        </is>
      </c>
    </row>
    <row r="2" ht="20" customHeight="1">
      <c r="A2" s="7" t="inlineStr">
        <is>
          <t>CHECKLIST DE VALIDACAO DA CAMADA FISCAL</t>
        </is>
      </c>
    </row>
    <row r="3" ht="20" customHeight="1"/>
    <row r="4" ht="20" customHeight="1">
      <c r="A4" s="8" t="inlineStr">
        <is>
          <t>TESTE_ID</t>
        </is>
      </c>
      <c r="B4" s="8" t="inlineStr">
        <is>
          <t>ENTRADA</t>
        </is>
      </c>
      <c r="C4" s="8" t="inlineStr">
        <is>
          <t>RESULTADO_ESPERADO</t>
        </is>
      </c>
      <c r="D4" s="8" t="inlineStr">
        <is>
          <t>TEXTO_ESPERADO</t>
        </is>
      </c>
      <c r="E4" s="8" t="inlineStr">
        <is>
          <t>VALIDACAO_HUMANA</t>
        </is>
      </c>
      <c r="F4" s="8" t="inlineStr">
        <is>
          <t>STATUS</t>
        </is>
      </c>
      <c r="G4" s="8" t="inlineStr">
        <is>
          <t>OBS</t>
        </is>
      </c>
    </row>
    <row r="5" ht="20" customHeight="1">
      <c r="A5" s="9" t="inlineStr">
        <is>
          <t>TEST FISC CONS 001</t>
        </is>
      </c>
      <c r="B5" s="9" t="inlineStr">
        <is>
          <t>Consulta simples paga no Asaas</t>
        </is>
      </c>
      <c r="C5" s="9" t="inlineStr">
        <is>
          <t>NF liberada</t>
        </is>
      </c>
      <c r="D5" s="9" t="inlineStr">
        <is>
          <t>HONORARIOS MEDICOS REFERENTES A CONSULTA MEDICA INTEGRATIVA.</t>
        </is>
      </c>
      <c r="E5" s="9" t="inlineStr">
        <is>
          <t>MEDICO</t>
        </is>
      </c>
      <c r="F5" s="9" t="inlineStr">
        <is>
          <t>PLANEJADO</t>
        </is>
      </c>
      <c r="G5" s="9" t="inlineStr">
        <is>
          <t>fluxo basico</t>
        </is>
      </c>
    </row>
    <row r="6" ht="20" customHeight="1">
      <c r="A6" s="9" t="inlineStr">
        <is>
          <t>TEST FISC EXAM 002</t>
        </is>
      </c>
      <c r="B6" s="9" t="inlineStr">
        <is>
          <t>Emissao de guias de exames</t>
        </is>
      </c>
      <c r="C6" s="9" t="inlineStr">
        <is>
          <t>NF liberada</t>
        </is>
      </c>
      <c r="D6" s="9" t="inlineStr">
        <is>
          <t>HONORARIOS MEDICOS REFERENTES A EMISSAO DE GUIAS DE EXAMES E ORIENTACAO CLINICA CORRELATA.</t>
        </is>
      </c>
      <c r="E6" s="9" t="inlineStr">
        <is>
          <t>SECRETARIA</t>
        </is>
      </c>
      <c r="F6" s="9" t="inlineStr">
        <is>
          <t>PLANEJADO</t>
        </is>
      </c>
      <c r="G6" s="9" t="inlineStr">
        <is>
          <t>exames</t>
        </is>
      </c>
    </row>
    <row r="7" ht="20" customHeight="1">
      <c r="A7" s="9" t="inlineStr">
        <is>
          <t>TEST FISC INFU 003</t>
        </is>
      </c>
      <c r="B7" s="9" t="inlineStr">
        <is>
          <t>Soro antioxidante semanal</t>
        </is>
      </c>
      <c r="C7" s="9" t="inlineStr">
        <is>
          <t>NF liberada</t>
        </is>
      </c>
      <c r="D7" s="9" t="inlineStr">
        <is>
          <t>HONORARIOS MEDICOS REFERENTES A PROTOCOLO INJETAVEL ENDOVENOSO TIPO SORO ANTIOXIDANTE, COM 1 UNIDADE(S), DURACAO MEDIA DE 60 MINUTOS, FREQUENCIA SEMANAL.</t>
        </is>
      </c>
      <c r="E7" s="9" t="inlineStr">
        <is>
          <t>FISCAL</t>
        </is>
      </c>
      <c r="F7" s="9" t="inlineStr">
        <is>
          <t>PLANEJADO</t>
        </is>
      </c>
      <c r="G7" s="9" t="inlineStr">
        <is>
          <t>detalhado</t>
        </is>
      </c>
    </row>
    <row r="8" ht="20" customHeight="1">
      <c r="A8" s="9" t="inlineStr">
        <is>
          <t>TEST FISC PAGA 004</t>
        </is>
      </c>
      <c r="B8" s="9" t="inlineStr">
        <is>
          <t>Pagamento pendente Mercado Pago</t>
        </is>
      </c>
      <c r="C8" s="9" t="inlineStr">
        <is>
          <t>NF bloqueada</t>
        </is>
      </c>
      <c r="D8" s="9" t="inlineStr">
        <is>
          <t>SEM EMISSAO</t>
        </is>
      </c>
      <c r="E8" s="9" t="inlineStr">
        <is>
          <t>FINANCEIRO</t>
        </is>
      </c>
      <c r="F8" s="9" t="inlineStr">
        <is>
          <t>PLANEJADO</t>
        </is>
      </c>
      <c r="G8" s="9" t="inlineStr">
        <is>
          <t>status pendente</t>
        </is>
      </c>
    </row>
    <row r="9" ht="20" customHeight="1">
      <c r="A9" s="9" t="inlineStr">
        <is>
          <t>TEST FISC CPFV 005</t>
        </is>
      </c>
      <c r="B9" s="9" t="inlineStr">
        <is>
          <t>CPF do tomador vazio</t>
        </is>
      </c>
      <c r="C9" s="9" t="inlineStr">
        <is>
          <t>NF bloqueada</t>
        </is>
      </c>
      <c r="D9" s="9" t="inlineStr">
        <is>
          <t>SEM EMISSAO</t>
        </is>
      </c>
      <c r="E9" s="9" t="inlineStr">
        <is>
          <t>SECRETARIA</t>
        </is>
      </c>
      <c r="F9" s="9" t="inlineStr">
        <is>
          <t>PLANEJADO</t>
        </is>
      </c>
      <c r="G9" s="9" t="inlineStr">
        <is>
          <t>campo obrigatorio</t>
        </is>
      </c>
    </row>
    <row r="10" ht="20" customHeight="1">
      <c r="A10" s="9" t="inlineStr">
        <is>
          <t>TEST FISC TEXG 006</t>
        </is>
      </c>
      <c r="B10" s="9" t="inlineStr">
        <is>
          <t>Texto generico detectado</t>
        </is>
      </c>
      <c r="C10" s="9" t="inlineStr">
        <is>
          <t>revisao obrigatoria</t>
        </is>
      </c>
      <c r="D10" s="9" t="inlineStr">
        <is>
          <t>REESCREVER DESCRICAO FISCAL</t>
        </is>
      </c>
      <c r="E10" s="9" t="inlineStr">
        <is>
          <t>FISCAL</t>
        </is>
      </c>
      <c r="F10" s="9" t="inlineStr">
        <is>
          <t>PLANEJADO</t>
        </is>
      </c>
      <c r="G10" s="9" t="inlineStr">
        <is>
          <t>filtro de qualidade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6" customWidth="1" min="4" max="4"/>
    <col width="25" customWidth="1" min="5" max="5"/>
  </cols>
  <sheetData>
    <row r="1" ht="24" customHeight="1">
      <c r="A1" s="6" t="inlineStr">
        <is>
          <t>FISCAL LEGENDA HUMANA</t>
        </is>
      </c>
    </row>
    <row r="2" ht="20" customHeight="1">
      <c r="A2" s="7" t="inlineStr">
        <is>
          <t>TRADUCAO OPERACIONAL PARA EQUIPE NA CAMADA FISCAL</t>
        </is>
      </c>
    </row>
    <row r="3" ht="20" customHeight="1"/>
    <row r="4" ht="20" customHeight="1">
      <c r="A4" s="8" t="inlineStr">
        <is>
          <t>TEMA</t>
        </is>
      </c>
      <c r="B4" s="8" t="inlineStr">
        <is>
          <t>EXPLICACAO_CURTA</t>
        </is>
      </c>
      <c r="C4" s="8" t="inlineStr">
        <is>
          <t>DECISAO_RECOMENDADA</t>
        </is>
      </c>
      <c r="D4" s="8" t="inlineStr">
        <is>
          <t>MOTIVO</t>
        </is>
      </c>
      <c r="E4" s="8" t="inlineStr">
        <is>
          <t>RISCO_SE_NAO_FIZER</t>
        </is>
      </c>
    </row>
    <row r="5" ht="20" customHeight="1">
      <c r="A5" s="9" t="inlineStr">
        <is>
          <t>PAGAMENTO</t>
        </is>
      </c>
      <c r="B5" s="9" t="inlineStr">
        <is>
          <t>NOTA FISCAL SO DEVE SAIR COM STATUS APROVADO</t>
        </is>
      </c>
      <c r="C5" s="9" t="inlineStr">
        <is>
          <t>NORMALIZAR GATEWAY ANTES DE EMITIR</t>
        </is>
      </c>
      <c r="D5" s="9" t="inlineStr">
        <is>
          <t>EVITA EMISSAO INDEVIDA</t>
        </is>
      </c>
      <c r="E5" s="9" t="inlineStr">
        <is>
          <t>NF PREMATURA</t>
        </is>
      </c>
    </row>
    <row r="6" ht="20" customHeight="1">
      <c r="A6" s="9" t="inlineStr">
        <is>
          <t>TEXTO DA NF</t>
        </is>
      </c>
      <c r="B6" s="9" t="inlineStr">
        <is>
          <t>A DESCRICAO PRECISA SER MEDICA E PADRONIZADA</t>
        </is>
      </c>
      <c r="C6" s="9" t="inlineStr">
        <is>
          <t>COMEÇAR COM HONORARIOS MEDICOS REFERENTES A</t>
        </is>
      </c>
      <c r="D6" s="9" t="inlineStr">
        <is>
          <t>MELHORA COERENCIA FISCAL</t>
        </is>
      </c>
      <c r="E6" s="9" t="inlineStr">
        <is>
          <t>TEXTO GENERICO OU FRACO</t>
        </is>
      </c>
    </row>
    <row r="7" ht="20" customHeight="1">
      <c r="A7" s="9" t="inlineStr">
        <is>
          <t>CODIGO INTERNO</t>
        </is>
      </c>
      <c r="B7" s="9" t="inlineStr">
        <is>
          <t>TODO PROCEDIMENTO DEVE TER CODIGO</t>
        </is>
      </c>
      <c r="C7" s="9" t="inlineStr">
        <is>
          <t>BLOQUEAR QUANDO FALTAR CODIGO</t>
        </is>
      </c>
      <c r="D7" s="9" t="inlineStr">
        <is>
          <t>GOVERNA O CATALOGO</t>
        </is>
      </c>
      <c r="E7" s="9" t="inlineStr">
        <is>
          <t>ERRO DE MAPEAMENTO</t>
        </is>
      </c>
    </row>
    <row r="8" ht="20" customHeight="1">
      <c r="A8" s="9" t="inlineStr">
        <is>
          <t>MODO RESUMO</t>
        </is>
      </c>
      <c r="B8" s="9" t="inlineStr">
        <is>
          <t>USAR QUANDO O OBJETIVO FOR FISCAL PURO</t>
        </is>
      </c>
      <c r="C8" s="9" t="inlineStr">
        <is>
          <t>TEXTO CURTO E LIMPO</t>
        </is>
      </c>
      <c r="D8" s="9" t="inlineStr">
        <is>
          <t>REDUZ RUIDO</t>
        </is>
      </c>
      <c r="E8" s="9" t="inlineStr">
        <is>
          <t>DESCRICAO EXCESSIVA</t>
        </is>
      </c>
    </row>
    <row r="9" ht="20" customHeight="1">
      <c r="A9" s="9" t="inlineStr">
        <is>
          <t>MODO DETALHADO</t>
        </is>
      </c>
      <c r="B9" s="9" t="inlineStr">
        <is>
          <t>USAR EM REEMBOLSO OU AUDITORIA</t>
        </is>
      </c>
      <c r="C9" s="9" t="inlineStr">
        <is>
          <t>INCLUIR QUANTIDADE FREQUENCIA E DURACAO</t>
        </is>
      </c>
      <c r="D9" s="9" t="inlineStr">
        <is>
          <t>AJUDA IDENTIFICACAO</t>
        </is>
      </c>
      <c r="E9" s="9" t="inlineStr">
        <is>
          <t>PERCALCOS COM OPERADORA</t>
        </is>
      </c>
    </row>
    <row r="10">
      <c r="A10" t="inlineStr">
        <is>
          <t>PADRAO DE CODIGOS</t>
        </is>
      </c>
      <c r="B10" t="inlineStr">
        <is>
          <t>CODIGOS FISCAIS E INTERNOS DEVEM USAR 4+4+4+3</t>
        </is>
      </c>
      <c r="C10" t="inlineStr">
        <is>
          <t>MANTER CODIGO SEMANTICO E MAIUSCULO</t>
        </is>
      </c>
      <c r="D10" t="inlineStr">
        <is>
          <t>PADRONIZA MOTOR E NF</t>
        </is>
      </c>
      <c r="E10" t="inlineStr">
        <is>
          <t>CODIGO FORA DO PADRAO ATRAPALHA FILTRO E INTEGRACAO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22" customWidth="1" min="4" max="4"/>
    <col width="21" customWidth="1" min="5" max="5"/>
  </cols>
  <sheetData>
    <row r="1" ht="24" customHeight="1">
      <c r="A1" s="6" t="inlineStr">
        <is>
          <t>BANCO DADOS ESQUEMA</t>
        </is>
      </c>
    </row>
    <row r="2" ht="20" customHeight="1">
      <c r="A2" s="7" t="inlineStr">
        <is>
          <t>MODELO INICIAL PARA REPLIT / BACKEND</t>
        </is>
      </c>
    </row>
    <row r="3" ht="20" customHeight="1"/>
    <row r="4" ht="20" customHeight="1">
      <c r="A4" s="8" t="inlineStr">
        <is>
          <t>TABELA</t>
        </is>
      </c>
      <c r="B4" s="8" t="inlineStr">
        <is>
          <t>CAMPO</t>
        </is>
      </c>
      <c r="C4" s="8" t="inlineStr">
        <is>
          <t>TIPO</t>
        </is>
      </c>
      <c r="D4" s="8" t="inlineStr">
        <is>
          <t>FINALIDADE</t>
        </is>
      </c>
      <c r="E4" s="8" t="inlineStr">
        <is>
          <t>OBS</t>
        </is>
      </c>
    </row>
    <row r="5" ht="20" customHeight="1">
      <c r="A5" s="9" t="inlineStr">
        <is>
          <t>pacientes</t>
        </is>
      </c>
      <c r="B5" s="9" t="inlineStr">
        <is>
          <t>id</t>
        </is>
      </c>
      <c r="C5" s="9" t="inlineStr">
        <is>
          <t>uuid</t>
        </is>
      </c>
      <c r="D5" s="9" t="inlineStr">
        <is>
          <t>chave primaria</t>
        </is>
      </c>
      <c r="E5" s="9" t="inlineStr"/>
    </row>
    <row r="6" ht="20" customHeight="1">
      <c r="A6" s="9" t="inlineStr">
        <is>
          <t>pacientes</t>
        </is>
      </c>
      <c r="B6" s="9" t="inlineStr">
        <is>
          <t>tenant_id</t>
        </is>
      </c>
      <c r="C6" s="9" t="inlineStr">
        <is>
          <t>uuid</t>
        </is>
      </c>
      <c r="D6" s="9" t="inlineStr">
        <is>
          <t>multiempresa</t>
        </is>
      </c>
      <c r="E6" s="9" t="inlineStr"/>
    </row>
    <row r="7" ht="20" customHeight="1">
      <c r="A7" s="9" t="inlineStr">
        <is>
          <t>pacientes</t>
        </is>
      </c>
      <c r="B7" s="9" t="inlineStr">
        <is>
          <t>nome</t>
        </is>
      </c>
      <c r="C7" s="9" t="inlineStr">
        <is>
          <t>text</t>
        </is>
      </c>
      <c r="D7" s="9" t="inlineStr">
        <is>
          <t>cadastro</t>
        </is>
      </c>
      <c r="E7" s="9" t="inlineStr"/>
    </row>
    <row r="8" ht="20" customHeight="1">
      <c r="A8" s="9" t="inlineStr">
        <is>
          <t>pacientes</t>
        </is>
      </c>
      <c r="B8" s="9" t="inlineStr">
        <is>
          <t>cpf</t>
        </is>
      </c>
      <c r="C8" s="9" t="inlineStr">
        <is>
          <t>text</t>
        </is>
      </c>
      <c r="D8" s="9" t="inlineStr">
        <is>
          <t>fiscal e contrato</t>
        </is>
      </c>
      <c r="E8" s="9" t="inlineStr">
        <is>
          <t>obrigatorio para NF</t>
        </is>
      </c>
    </row>
    <row r="9" ht="20" customHeight="1">
      <c r="A9" s="9" t="inlineStr">
        <is>
          <t>atendimentos</t>
        </is>
      </c>
      <c r="B9" s="9" t="inlineStr">
        <is>
          <t>id</t>
        </is>
      </c>
      <c r="C9" s="9" t="inlineStr">
        <is>
          <t>uuid</t>
        </is>
      </c>
      <c r="D9" s="9" t="inlineStr">
        <is>
          <t>chave primaria</t>
        </is>
      </c>
      <c r="E9" s="9" t="inlineStr"/>
    </row>
    <row r="10" ht="20" customHeight="1">
      <c r="A10" s="9" t="inlineStr">
        <is>
          <t>atendimentos</t>
        </is>
      </c>
      <c r="B10" s="9" t="inlineStr">
        <is>
          <t>paciente_id</t>
        </is>
      </c>
      <c r="C10" s="9" t="inlineStr">
        <is>
          <t>uuid</t>
        </is>
      </c>
      <c r="D10" s="9" t="inlineStr">
        <is>
          <t>relacao com paciente</t>
        </is>
      </c>
      <c r="E10" s="9" t="inlineStr"/>
    </row>
    <row r="11" ht="20" customHeight="1">
      <c r="A11" s="9" t="inlineStr">
        <is>
          <t>atendimentos</t>
        </is>
      </c>
      <c r="B11" s="9" t="inlineStr">
        <is>
          <t>status</t>
        </is>
      </c>
      <c r="C11" s="9" t="inlineStr">
        <is>
          <t>text</t>
        </is>
      </c>
      <c r="D11" s="9" t="inlineStr">
        <is>
          <t>controle do caso</t>
        </is>
      </c>
      <c r="E11" s="9" t="inlineStr"/>
    </row>
    <row r="12" ht="20" customHeight="1">
      <c r="A12" s="9" t="inlineStr">
        <is>
          <t>workflow_execucao</t>
        </is>
      </c>
      <c r="B12" s="9" t="inlineStr">
        <is>
          <t>etapa</t>
        </is>
      </c>
      <c r="C12" s="9" t="inlineStr">
        <is>
          <t>text</t>
        </is>
      </c>
      <c r="D12" s="9" t="inlineStr">
        <is>
          <t>fila operacional</t>
        </is>
      </c>
      <c r="E12" s="9" t="inlineStr"/>
    </row>
    <row r="13" ht="20" customHeight="1">
      <c r="A13" s="9" t="inlineStr">
        <is>
          <t>workflow_execucao</t>
        </is>
      </c>
      <c r="B13" s="9" t="inlineStr">
        <is>
          <t>bypass_realizado</t>
        </is>
      </c>
      <c r="C13" s="9" t="inlineStr">
        <is>
          <t>bool</t>
        </is>
      </c>
      <c r="D13" s="9" t="inlineStr">
        <is>
          <t>auditoria</t>
        </is>
      </c>
      <c r="E13" s="9" t="inlineStr"/>
    </row>
    <row r="14" ht="20" customHeight="1">
      <c r="A14" s="9" t="inlineStr">
        <is>
          <t>pagamentos</t>
        </is>
      </c>
      <c r="B14" s="9" t="inlineStr">
        <is>
          <t>gateway</t>
        </is>
      </c>
      <c r="C14" s="9" t="inlineStr">
        <is>
          <t>text</t>
        </is>
      </c>
      <c r="D14" s="9" t="inlineStr">
        <is>
          <t>origem do pagamento</t>
        </is>
      </c>
      <c r="E14" s="9" t="inlineStr">
        <is>
          <t>Asaas Mercado Pago</t>
        </is>
      </c>
    </row>
    <row r="15" ht="20" customHeight="1">
      <c r="A15" s="9" t="inlineStr">
        <is>
          <t>pagamentos</t>
        </is>
      </c>
      <c r="B15" s="9" t="inlineStr">
        <is>
          <t>status_normalizado</t>
        </is>
      </c>
      <c r="C15" s="9" t="inlineStr">
        <is>
          <t>text</t>
        </is>
      </c>
      <c r="D15" s="9" t="inlineStr">
        <is>
          <t>APROVADO OU NAO</t>
        </is>
      </c>
      <c r="E15" s="9" t="inlineStr"/>
    </row>
    <row r="16" ht="20" customHeight="1">
      <c r="A16" s="9" t="inlineStr">
        <is>
          <t>notas_fiscais</t>
        </is>
      </c>
      <c r="B16" s="9" t="inlineStr">
        <is>
          <t>texto_nf</t>
        </is>
      </c>
      <c r="C16" s="9" t="inlineStr">
        <is>
          <t>text</t>
        </is>
      </c>
      <c r="D16" s="9" t="inlineStr">
        <is>
          <t>descricao final</t>
        </is>
      </c>
      <c r="E16" s="9" t="inlineStr"/>
    </row>
    <row r="17" ht="20" customHeight="1">
      <c r="A17" s="9" t="inlineStr">
        <is>
          <t>notas_fiscais</t>
        </is>
      </c>
      <c r="B17" s="9" t="inlineStr">
        <is>
          <t>numero_nf</t>
        </is>
      </c>
      <c r="C17" s="9" t="inlineStr">
        <is>
          <t>text</t>
        </is>
      </c>
      <c r="D17" s="9" t="inlineStr">
        <is>
          <t>retorno do emissor</t>
        </is>
      </c>
      <c r="E17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24" customWidth="1" min="3" max="3"/>
    <col width="37" customWidth="1" min="4" max="4"/>
    <col width="20" customWidth="1" min="5" max="5"/>
  </cols>
  <sheetData>
    <row r="1" ht="24" customHeight="1">
      <c r="A1" s="6" t="inlineStr">
        <is>
          <t>API BACKEND ROTAS</t>
        </is>
      </c>
    </row>
    <row r="2" ht="20" customHeight="1">
      <c r="A2" s="7" t="inlineStr">
        <is>
          <t>ROTAS SUGERIDAS PARA APLICACAO WEB NO REPLIT</t>
        </is>
      </c>
    </row>
    <row r="3" ht="20" customHeight="1"/>
    <row r="4" ht="20" customHeight="1">
      <c r="A4" s="8" t="inlineStr">
        <is>
          <t>METODO</t>
        </is>
      </c>
      <c r="B4" s="8" t="inlineStr">
        <is>
          <t>ROTA</t>
        </is>
      </c>
      <c r="C4" s="8" t="inlineStr">
        <is>
          <t>OBJETIVO</t>
        </is>
      </c>
      <c r="D4" s="8" t="inlineStr">
        <is>
          <t>ENTRADA_MINIMA</t>
        </is>
      </c>
      <c r="E4" s="8" t="inlineStr">
        <is>
          <t>SAIDA_ESPERADA</t>
        </is>
      </c>
    </row>
    <row r="5" ht="20" customHeight="1">
      <c r="A5" s="9" t="inlineStr">
        <is>
          <t>POST</t>
        </is>
      </c>
      <c r="B5" s="9" t="inlineStr">
        <is>
          <t>/api/pacientes</t>
        </is>
      </c>
      <c r="C5" s="9" t="inlineStr">
        <is>
          <t>criar paciente</t>
        </is>
      </c>
      <c r="D5" s="9" t="inlineStr">
        <is>
          <t>tenant_id nome cpf</t>
        </is>
      </c>
      <c r="E5" s="9" t="inlineStr">
        <is>
          <t>paciente criado</t>
        </is>
      </c>
    </row>
    <row r="6" ht="20" customHeight="1">
      <c r="A6" s="9" t="inlineStr">
        <is>
          <t>POST</t>
        </is>
      </c>
      <c r="B6" s="9" t="inlineStr">
        <is>
          <t>/api/anamnese</t>
        </is>
      </c>
      <c r="C6" s="9" t="inlineStr">
        <is>
          <t>salvar respostas</t>
        </is>
      </c>
      <c r="D6" s="9" t="inlineStr">
        <is>
          <t>atendimento_id perguntas respostas</t>
        </is>
      </c>
      <c r="E6" s="9" t="inlineStr">
        <is>
          <t>motor disparado</t>
        </is>
      </c>
    </row>
    <row r="7" ht="20" customHeight="1">
      <c r="A7" s="9" t="inlineStr">
        <is>
          <t>POST</t>
        </is>
      </c>
      <c r="B7" s="9" t="inlineStr">
        <is>
          <t>/api/workflow/gerar</t>
        </is>
      </c>
      <c r="C7" s="9" t="inlineStr">
        <is>
          <t>gerar fluxo</t>
        </is>
      </c>
      <c r="D7" s="9" t="inlineStr">
        <is>
          <t>atendimento_id procedimento</t>
        </is>
      </c>
      <c r="E7" s="9" t="inlineStr">
        <is>
          <t>etapas criadas</t>
        </is>
      </c>
    </row>
    <row r="8" ht="20" customHeight="1">
      <c r="A8" s="9" t="inlineStr">
        <is>
          <t>POST</t>
        </is>
      </c>
      <c r="B8" s="9" t="inlineStr">
        <is>
          <t>/api/workflow/bypass</t>
        </is>
      </c>
      <c r="C8" s="9" t="inlineStr">
        <is>
          <t>registrar bypass</t>
        </is>
      </c>
      <c r="D8" s="9" t="inlineStr">
        <is>
          <t>atendimento_id etapa motivo usuario</t>
        </is>
      </c>
      <c r="E8" s="9" t="inlineStr">
        <is>
          <t>log criado</t>
        </is>
      </c>
    </row>
    <row r="9" ht="20" customHeight="1">
      <c r="A9" s="9" t="inlineStr">
        <is>
          <t>POST</t>
        </is>
      </c>
      <c r="B9" s="9" t="inlineStr">
        <is>
          <t>/api/pagamentos/webhook</t>
        </is>
      </c>
      <c r="C9" s="9" t="inlineStr">
        <is>
          <t>receber status gateway</t>
        </is>
      </c>
      <c r="D9" s="9" t="inlineStr">
        <is>
          <t>id_gateway status valor</t>
        </is>
      </c>
      <c r="E9" s="9" t="inlineStr">
        <is>
          <t>status normalizado</t>
        </is>
      </c>
    </row>
    <row r="10" ht="20" customHeight="1">
      <c r="A10" s="9" t="inlineStr">
        <is>
          <t>POST</t>
        </is>
      </c>
      <c r="B10" s="9" t="inlineStr">
        <is>
          <t>/api/fiscal/preview</t>
        </is>
      </c>
      <c r="C10" s="9" t="inlineStr">
        <is>
          <t>montar texto NF</t>
        </is>
      </c>
      <c r="D10" s="9" t="inlineStr">
        <is>
          <t>atendimento_id procedimento</t>
        </is>
      </c>
      <c r="E10" s="9" t="inlineStr">
        <is>
          <t>texto_nf_final</t>
        </is>
      </c>
    </row>
    <row r="11" ht="20" customHeight="1">
      <c r="A11" s="9" t="inlineStr">
        <is>
          <t>POST</t>
        </is>
      </c>
      <c r="B11" s="9" t="inlineStr">
        <is>
          <t>/api/fiscal/emitir</t>
        </is>
      </c>
      <c r="C11" s="9" t="inlineStr">
        <is>
          <t>enviar para emissor</t>
        </is>
      </c>
      <c r="D11" s="9" t="inlineStr">
        <is>
          <t>payload fiscal</t>
        </is>
      </c>
      <c r="E11" s="9" t="inlineStr">
        <is>
          <t>numero_nf ou erro</t>
        </is>
      </c>
    </row>
    <row r="12" ht="20" customHeight="1">
      <c r="A12" s="9" t="inlineStr">
        <is>
          <t>GET</t>
        </is>
      </c>
      <c r="B12" s="9" t="inlineStr">
        <is>
          <t>/api/dashboard/master</t>
        </is>
      </c>
      <c r="C12" s="9" t="inlineStr">
        <is>
          <t>visao global</t>
        </is>
      </c>
      <c r="D12" s="9" t="inlineStr">
        <is>
          <t>tenant opcional</t>
        </is>
      </c>
      <c r="E12" s="9" t="inlineStr">
        <is>
          <t>KPIs multiempresa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8" customWidth="1" min="4" max="4"/>
    <col width="34" customWidth="1" min="5" max="5"/>
    <col width="10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16" customWidth="1" min="15" max="15"/>
    <col width="46" customWidth="1" min="16" max="16"/>
    <col width="18" customWidth="1" min="17" max="17"/>
    <col width="12" customWidth="1" min="18" max="18"/>
  </cols>
  <sheetData>
    <row r="1">
      <c r="A1" s="6" t="inlineStr">
        <is>
          <t>CODIGO FORMULA</t>
        </is>
      </c>
      <c r="B1" s="6" t="inlineStr">
        <is>
          <t>TIPO ITEM</t>
        </is>
      </c>
      <c r="C1" s="6" t="inlineStr">
        <is>
          <t>NOME EXIBICAO</t>
        </is>
      </c>
      <c r="D1" s="6" t="inlineStr">
        <is>
          <t>CATEGORIA CLINICA</t>
        </is>
      </c>
      <c r="E1" s="6" t="inlineStr">
        <is>
          <t>DESCRICAO OPERACIONAL</t>
        </is>
      </c>
      <c r="F1" s="6" t="inlineStr">
        <is>
          <t>VIA</t>
        </is>
      </c>
      <c r="G1" s="6" t="inlineStr">
        <is>
          <t>APRESENTACAO</t>
        </is>
      </c>
      <c r="H1" s="6" t="inlineStr">
        <is>
          <t>UNIDADE MEDIDA</t>
        </is>
      </c>
      <c r="I1" s="6" t="inlineStr">
        <is>
          <t>DOSE BASE</t>
        </is>
      </c>
      <c r="J1" s="6" t="inlineStr">
        <is>
          <t>FREQUENCIA BASE</t>
        </is>
      </c>
      <c r="K1" s="6" t="inlineStr">
        <is>
          <t>DURACAO BASE</t>
        </is>
      </c>
      <c r="L1" s="6" t="inlineStr">
        <is>
          <t>EXIGE VALIDACAO</t>
        </is>
      </c>
      <c r="M1" s="6" t="inlineStr">
        <is>
          <t>EXIGE MEDICO</t>
        </is>
      </c>
      <c r="N1" s="6" t="inlineStr">
        <is>
          <t>EXIGE TERMO</t>
        </is>
      </c>
      <c r="O1" s="6" t="inlineStr">
        <is>
          <t>EXIGE PAGAMENTO</t>
        </is>
      </c>
      <c r="P1" s="6" t="inlineStr">
        <is>
          <t>TEXTO NF BASE</t>
        </is>
      </c>
      <c r="Q1" s="6" t="inlineStr">
        <is>
          <t>CODIGO NF</t>
        </is>
      </c>
      <c r="R1" s="6" t="inlineStr">
        <is>
          <t>STATUS</t>
        </is>
      </c>
    </row>
    <row r="2">
      <c r="A2" s="7" t="inlineStr">
        <is>
          <t>FORM INJE SORO 001</t>
        </is>
      </c>
      <c r="B2" s="7" t="inlineStr">
        <is>
          <t>FORMULA</t>
        </is>
      </c>
      <c r="C2" s="7" t="inlineStr">
        <is>
          <t>SORO ANTIOXIDANTE</t>
        </is>
      </c>
      <c r="D2" s="7" t="inlineStr">
        <is>
          <t>INFUSAO ENDOV</t>
        </is>
      </c>
      <c r="E2" s="7" t="inlineStr">
        <is>
          <t>PROTOCOLO ENDOVENOSO ANTIOXIDANTE</t>
        </is>
      </c>
      <c r="F2" s="7" t="inlineStr">
        <is>
          <t>ENDOV</t>
        </is>
      </c>
      <c r="G2" s="7" t="inlineStr">
        <is>
          <t>SORO</t>
        </is>
      </c>
      <c r="H2" s="7" t="inlineStr">
        <is>
          <t>UNIDADE</t>
        </is>
      </c>
      <c r="I2" s="7" t="inlineStr">
        <is>
          <t>1 BOLSA</t>
        </is>
      </c>
      <c r="J2" s="7" t="inlineStr">
        <is>
          <t>SEMANAL</t>
        </is>
      </c>
      <c r="K2" s="7" t="inlineStr">
        <is>
          <t>60 MIN</t>
        </is>
      </c>
      <c r="L2" s="7" t="inlineStr">
        <is>
          <t>SIM</t>
        </is>
      </c>
      <c r="M2" s="7" t="inlineStr">
        <is>
          <t>SIM</t>
        </is>
      </c>
      <c r="N2" s="7" t="inlineStr">
        <is>
          <t>SIM</t>
        </is>
      </c>
      <c r="O2" s="7" t="inlineStr">
        <is>
          <t>SIM</t>
        </is>
      </c>
      <c r="P2" s="7" t="inlineStr">
        <is>
          <t>HONORARIOS MEDICOS REFERENTES A PROTOCOLO INJETAVEL ENDOVENOSO TIPO SORO ANTIOXIDANTE</t>
        </is>
      </c>
      <c r="Q2" s="7" t="inlineStr">
        <is>
          <t>FISC INJE SORO 001</t>
        </is>
      </c>
      <c r="R2" s="7" t="inlineStr">
        <is>
          <t>ATIVO</t>
        </is>
      </c>
    </row>
    <row r="3">
      <c r="A3" s="7" t="inlineStr">
        <is>
          <t>FORM INJE VITA 001</t>
        </is>
      </c>
      <c r="B3" s="7" t="inlineStr">
        <is>
          <t>FORMULA</t>
        </is>
      </c>
      <c r="C3" s="7" t="inlineStr">
        <is>
          <t>VITAMINA B12 IM</t>
        </is>
      </c>
      <c r="D3" s="7" t="inlineStr">
        <is>
          <t>INJETAVEL IM</t>
        </is>
      </c>
      <c r="E3" s="7" t="inlineStr">
        <is>
          <t>APLICACAO TERAPEUTICA INJETAVEL INTRAMUSCULAR</t>
        </is>
      </c>
      <c r="F3" s="7" t="inlineStr">
        <is>
          <t>IM</t>
        </is>
      </c>
      <c r="G3" s="7" t="inlineStr">
        <is>
          <t>AMPOLA</t>
        </is>
      </c>
      <c r="H3" s="7" t="inlineStr">
        <is>
          <t>AMPOLA</t>
        </is>
      </c>
      <c r="I3" s="7" t="inlineStr">
        <is>
          <t>1 AMPOLA</t>
        </is>
      </c>
      <c r="J3" s="7" t="inlineStr">
        <is>
          <t>SEMANAL</t>
        </is>
      </c>
      <c r="K3" s="7" t="inlineStr">
        <is>
          <t>5 MIN</t>
        </is>
      </c>
      <c r="L3" s="7" t="inlineStr">
        <is>
          <t>NAO</t>
        </is>
      </c>
      <c r="M3" s="7" t="inlineStr">
        <is>
          <t>SIM</t>
        </is>
      </c>
      <c r="N3" s="7" t="inlineStr">
        <is>
          <t>NAO</t>
        </is>
      </c>
      <c r="O3" s="7" t="inlineStr">
        <is>
          <t>SIM</t>
        </is>
      </c>
      <c r="P3" s="7" t="inlineStr">
        <is>
          <t>HONORARIOS MEDICOS REFERENTES A APLICACAO TERAPEUTICA INJETAVEL INTRAMUSCULAR DE VITAMINA B12</t>
        </is>
      </c>
      <c r="Q3" s="7" t="inlineStr">
        <is>
          <t>FISC INJE VITA 001</t>
        </is>
      </c>
      <c r="R3" s="7" t="inlineStr">
        <is>
          <t>ATIVO</t>
        </is>
      </c>
    </row>
    <row r="4">
      <c r="A4" s="7" t="inlineStr">
        <is>
          <t>FORM INJE GLUT 001</t>
        </is>
      </c>
      <c r="B4" s="7" t="inlineStr">
        <is>
          <t>FORMULA</t>
        </is>
      </c>
      <c r="C4" s="7" t="inlineStr">
        <is>
          <t>GLUTATIONA ENDOV</t>
        </is>
      </c>
      <c r="D4" s="7" t="inlineStr">
        <is>
          <t>INFUSAO ENDOV</t>
        </is>
      </c>
      <c r="E4" s="7" t="inlineStr">
        <is>
          <t>INFUSAO ENDOVENOSA DE GLUTATIONA</t>
        </is>
      </c>
      <c r="F4" s="7" t="inlineStr">
        <is>
          <t>ENDOV</t>
        </is>
      </c>
      <c r="G4" s="7" t="inlineStr">
        <is>
          <t>AMPOLA</t>
        </is>
      </c>
      <c r="H4" s="7" t="inlineStr">
        <is>
          <t>AMPOLA</t>
        </is>
      </c>
      <c r="I4" s="7" t="inlineStr">
        <is>
          <t>1 AMPOLA</t>
        </is>
      </c>
      <c r="J4" s="7" t="inlineStr">
        <is>
          <t>SEMANAL</t>
        </is>
      </c>
      <c r="K4" s="7" t="inlineStr">
        <is>
          <t>45 MIN</t>
        </is>
      </c>
      <c r="L4" s="7" t="inlineStr">
        <is>
          <t>SIM</t>
        </is>
      </c>
      <c r="M4" s="7" t="inlineStr">
        <is>
          <t>SIM</t>
        </is>
      </c>
      <c r="N4" s="7" t="inlineStr">
        <is>
          <t>SIM</t>
        </is>
      </c>
      <c r="O4" s="7" t="inlineStr">
        <is>
          <t>SIM</t>
        </is>
      </c>
      <c r="P4" s="7" t="inlineStr">
        <is>
          <t>HONORARIOS MEDICOS REFERENTES A INFUSAO ENDOVENOSA ASSISTIDA DE GLUTATIONA</t>
        </is>
      </c>
      <c r="Q4" s="7" t="inlineStr">
        <is>
          <t>FISC INJE GLUT 001</t>
        </is>
      </c>
      <c r="R4" s="7" t="inlineStr">
        <is>
          <t>ATIVO</t>
        </is>
      </c>
    </row>
    <row r="5">
      <c r="A5" s="7" t="inlineStr">
        <is>
          <t>FORM INJE COEN 001</t>
        </is>
      </c>
      <c r="B5" s="7" t="inlineStr">
        <is>
          <t>FORMULA</t>
        </is>
      </c>
      <c r="C5" s="7" t="inlineStr">
        <is>
          <t>COENZIMA Q10 ENDOV</t>
        </is>
      </c>
      <c r="D5" s="7" t="inlineStr">
        <is>
          <t>INFUSAO ENDOV</t>
        </is>
      </c>
      <c r="E5" s="7" t="inlineStr">
        <is>
          <t>INFUSAO ENDOVENOSA DE COENZIMA Q10</t>
        </is>
      </c>
      <c r="F5" s="7" t="inlineStr">
        <is>
          <t>ENDOV</t>
        </is>
      </c>
      <c r="G5" s="7" t="inlineStr">
        <is>
          <t>AMPOLA</t>
        </is>
      </c>
      <c r="H5" s="7" t="inlineStr">
        <is>
          <t>AMPOLA</t>
        </is>
      </c>
      <c r="I5" s="7" t="inlineStr">
        <is>
          <t>1 AMPOLA</t>
        </is>
      </c>
      <c r="J5" s="7" t="inlineStr">
        <is>
          <t>SEMANAL</t>
        </is>
      </c>
      <c r="K5" s="7" t="inlineStr">
        <is>
          <t>45 MIN</t>
        </is>
      </c>
      <c r="L5" s="7" t="inlineStr">
        <is>
          <t>SIM</t>
        </is>
      </c>
      <c r="M5" s="7" t="inlineStr">
        <is>
          <t>SIM</t>
        </is>
      </c>
      <c r="N5" s="7" t="inlineStr">
        <is>
          <t>SIM</t>
        </is>
      </c>
      <c r="O5" s="7" t="inlineStr">
        <is>
          <t>SIM</t>
        </is>
      </c>
      <c r="P5" s="7" t="inlineStr">
        <is>
          <t>HONORARIOS MEDICOS REFERENTES A INFUSAO ENDOVENOSA ASSISTIDA DE COENZIMA Q10</t>
        </is>
      </c>
      <c r="Q5" s="7" t="inlineStr">
        <is>
          <t>FISC INJE COEN 001</t>
        </is>
      </c>
      <c r="R5" s="7" t="inlineStr">
        <is>
          <t>ATIVO</t>
        </is>
      </c>
    </row>
    <row r="6">
      <c r="A6" s="7" t="inlineStr">
        <is>
          <t>FORM INJE MAGN 001</t>
        </is>
      </c>
      <c r="B6" s="7" t="inlineStr">
        <is>
          <t>FORMULA</t>
        </is>
      </c>
      <c r="C6" s="7" t="inlineStr">
        <is>
          <t>MAGNESIO ENDOV</t>
        </is>
      </c>
      <c r="D6" s="7" t="inlineStr">
        <is>
          <t>INFUSAO ENDOV</t>
        </is>
      </c>
      <c r="E6" s="7" t="inlineStr">
        <is>
          <t>INFUSAO ENDOVENOSA DE MAGNESIO</t>
        </is>
      </c>
      <c r="F6" s="7" t="inlineStr">
        <is>
          <t>ENDOV</t>
        </is>
      </c>
      <c r="G6" s="7" t="inlineStr">
        <is>
          <t>AMPOLA</t>
        </is>
      </c>
      <c r="H6" s="7" t="inlineStr">
        <is>
          <t>AMPOLA</t>
        </is>
      </c>
      <c r="I6" s="7" t="inlineStr">
        <is>
          <t>1 AMPOLA</t>
        </is>
      </c>
      <c r="J6" s="7" t="inlineStr">
        <is>
          <t>SEMANAL</t>
        </is>
      </c>
      <c r="K6" s="7" t="inlineStr">
        <is>
          <t>40 MIN</t>
        </is>
      </c>
      <c r="L6" s="7" t="inlineStr">
        <is>
          <t>SIM</t>
        </is>
      </c>
      <c r="M6" s="7" t="inlineStr">
        <is>
          <t>SIM</t>
        </is>
      </c>
      <c r="N6" s="7" t="inlineStr">
        <is>
          <t>SIM</t>
        </is>
      </c>
      <c r="O6" s="7" t="inlineStr">
        <is>
          <t>SIM</t>
        </is>
      </c>
      <c r="P6" s="7" t="inlineStr">
        <is>
          <t>HONORARIOS MEDICOS REFERENTES A INFUSAO ENDOVENOSA ASSISTIDA DE MAGNESIO</t>
        </is>
      </c>
      <c r="Q6" s="7" t="inlineStr">
        <is>
          <t>FISC INJE MAGN 001</t>
        </is>
      </c>
      <c r="R6" s="7" t="inlineStr">
        <is>
          <t>ATIVO</t>
        </is>
      </c>
    </row>
    <row r="7">
      <c r="A7" s="7" t="inlineStr">
        <is>
          <t>FORM INJE CURC 001</t>
        </is>
      </c>
      <c r="B7" s="7" t="inlineStr">
        <is>
          <t>FORMULA</t>
        </is>
      </c>
      <c r="C7" s="7" t="inlineStr">
        <is>
          <t>CURCUMINA ENDOV</t>
        </is>
      </c>
      <c r="D7" s="7" t="inlineStr">
        <is>
          <t>INFUSAO ENDOV</t>
        </is>
      </c>
      <c r="E7" s="7" t="inlineStr">
        <is>
          <t>INFUSAO ENDOVENOSA DE CURCUMINA</t>
        </is>
      </c>
      <c r="F7" s="7" t="inlineStr">
        <is>
          <t>ENDOV</t>
        </is>
      </c>
      <c r="G7" s="7" t="inlineStr">
        <is>
          <t>AMPOLA</t>
        </is>
      </c>
      <c r="H7" s="7" t="inlineStr">
        <is>
          <t>AMPOLA</t>
        </is>
      </c>
      <c r="I7" s="7" t="inlineStr">
        <is>
          <t>1 AMPOLA</t>
        </is>
      </c>
      <c r="J7" s="7" t="inlineStr">
        <is>
          <t>SEMANAL</t>
        </is>
      </c>
      <c r="K7" s="7" t="inlineStr">
        <is>
          <t>50 MIN</t>
        </is>
      </c>
      <c r="L7" s="7" t="inlineStr">
        <is>
          <t>SIM</t>
        </is>
      </c>
      <c r="M7" s="7" t="inlineStr">
        <is>
          <t>SIM</t>
        </is>
      </c>
      <c r="N7" s="7" t="inlineStr">
        <is>
          <t>SIM</t>
        </is>
      </c>
      <c r="O7" s="7" t="inlineStr">
        <is>
          <t>SIM</t>
        </is>
      </c>
      <c r="P7" s="7" t="inlineStr">
        <is>
          <t>HONORARIOS MEDICOS REFERENTES A INFUSAO ENDOVENOSA ASSISTIDA DE CURCUMINA</t>
        </is>
      </c>
      <c r="Q7" s="7" t="inlineStr">
        <is>
          <t>FISC INJE CURC 001</t>
        </is>
      </c>
      <c r="R7" s="7" t="inlineStr">
        <is>
          <t>ATIVO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30" customWidth="1" min="5" max="5"/>
    <col width="28" customWidth="1" min="6" max="6"/>
    <col width="34" customWidth="1" min="7" max="7"/>
    <col width="24" customWidth="1" min="8" max="8"/>
  </cols>
  <sheetData>
    <row r="1">
      <c r="A1" s="6" t="inlineStr">
        <is>
          <t>CODIGO MAPA</t>
        </is>
      </c>
      <c r="B1" s="6" t="inlineStr">
        <is>
          <t>CHAVE ORIGEM</t>
        </is>
      </c>
      <c r="C1" s="6" t="inlineStr">
        <is>
          <t>CHAVE DESTINO</t>
        </is>
      </c>
      <c r="D1" s="6" t="inlineStr">
        <is>
          <t>TIPO RELACAO</t>
        </is>
      </c>
      <c r="E1" s="6" t="inlineStr">
        <is>
          <t>REGRA SEMANTICA</t>
        </is>
      </c>
      <c r="F1" s="6" t="inlineStr">
        <is>
          <t>TEXTO HUMANO</t>
        </is>
      </c>
      <c r="G1" s="6" t="inlineStr">
        <is>
          <t>TEXTO IA</t>
        </is>
      </c>
      <c r="H1" s="6" t="inlineStr">
        <is>
          <t>OBSERVACAO</t>
        </is>
      </c>
    </row>
    <row r="2">
      <c r="A2" s="7" t="inlineStr">
        <is>
          <t>MAPA FORM INJE 001</t>
        </is>
      </c>
      <c r="B2" s="7" t="inlineStr">
        <is>
          <t>RESPOSTA QUESTIONARIO</t>
        </is>
      </c>
      <c r="C2" s="7" t="inlineStr">
        <is>
          <t>FORM INJE SORO 001</t>
        </is>
      </c>
      <c r="D2" s="7" t="inlineStr">
        <is>
          <t>SUGERE FORMULA</t>
        </is>
      </c>
      <c r="E2" s="7" t="inlineStr">
        <is>
          <t>SE FADIGA OXIDATIVA OU SUPORTE MITOCONDRIAL</t>
        </is>
      </c>
      <c r="F2" s="7" t="inlineStr">
        <is>
          <t>SUGERIR SORO ANTIOXIDANTE</t>
        </is>
      </c>
      <c r="G2" s="7" t="inlineStr">
        <is>
          <t>MAPEAR PARA PROTOCOLO ENDOV ANTIOXIDANTE</t>
        </is>
      </c>
      <c r="H2" s="7" t="inlineStr">
        <is>
          <t>REVISAR PELO MEDICO</t>
        </is>
      </c>
    </row>
    <row r="3">
      <c r="A3" s="7" t="inlineStr">
        <is>
          <t>MAPA FORM INJE 002</t>
        </is>
      </c>
      <c r="B3" s="7" t="inlineStr">
        <is>
          <t>RESPOSTA QUESTIONARIO</t>
        </is>
      </c>
      <c r="C3" s="7" t="inlineStr">
        <is>
          <t>FORM INJE VITA 001</t>
        </is>
      </c>
      <c r="D3" s="7" t="inlineStr">
        <is>
          <t>SUGERE FORMULA</t>
        </is>
      </c>
      <c r="E3" s="7" t="inlineStr">
        <is>
          <t>SE DEFICIENCIA OU MANUTENCAO B12</t>
        </is>
      </c>
      <c r="F3" s="7" t="inlineStr">
        <is>
          <t>SUGERIR B12 IM</t>
        </is>
      </c>
      <c r="G3" s="7" t="inlineStr">
        <is>
          <t>MAPEAR PARA APLICACAO INTRAMUSCULAR</t>
        </is>
      </c>
      <c r="H3" s="7" t="inlineStr">
        <is>
          <t>CHECAR HISTORICO</t>
        </is>
      </c>
    </row>
    <row r="4">
      <c r="A4" s="7" t="inlineStr">
        <is>
          <t>MAPA FORM INJE 003</t>
        </is>
      </c>
      <c r="B4" s="7" t="inlineStr">
        <is>
          <t>RESPOSTA QUESTIONARIO</t>
        </is>
      </c>
      <c r="C4" s="7" t="inlineStr">
        <is>
          <t>FORM INJE GLUT 001</t>
        </is>
      </c>
      <c r="D4" s="7" t="inlineStr">
        <is>
          <t>SUGERE FORMULA</t>
        </is>
      </c>
      <c r="E4" s="7" t="inlineStr">
        <is>
          <t>SE OBJETIVO ANTIOXIDANTE AVANCADO</t>
        </is>
      </c>
      <c r="F4" s="7" t="inlineStr">
        <is>
          <t>SUGERIR GLUTATIONA ENDOV</t>
        </is>
      </c>
      <c r="G4" s="7" t="inlineStr">
        <is>
          <t>MAPEAR PARA INFUSAO DE GLUTATIONA</t>
        </is>
      </c>
      <c r="H4" s="7" t="inlineStr">
        <is>
          <t>REVISAR INDICACAO</t>
        </is>
      </c>
    </row>
    <row r="5">
      <c r="A5" s="7" t="inlineStr">
        <is>
          <t>MAPA FORM INJE 004</t>
        </is>
      </c>
      <c r="B5" s="7" t="inlineStr">
        <is>
          <t>PROCEDIMENTO</t>
        </is>
      </c>
      <c r="C5" s="7" t="inlineStr">
        <is>
          <t>FISC INJE SORO 001</t>
        </is>
      </c>
      <c r="D5" s="7" t="inlineStr">
        <is>
          <t>GERA TEXTO NF</t>
        </is>
      </c>
      <c r="E5" s="7" t="inlineStr">
        <is>
          <t>SE PROCEDIMENTO EXECUTADO E PAGO</t>
        </is>
      </c>
      <c r="F5" s="7" t="inlineStr">
        <is>
          <t>GERAR TEXTO NF SORO ANTIOXIDANTE</t>
        </is>
      </c>
      <c r="G5" s="7" t="inlineStr">
        <is>
          <t>POPULAR TEMPLATE FISCAL</t>
        </is>
      </c>
      <c r="H5" s="7" t="inlineStr">
        <is>
          <t>BLOQUEAR SEM PAGAMENTO</t>
        </is>
      </c>
    </row>
    <row r="6">
      <c r="A6" s="7" t="inlineStr">
        <is>
          <t>MAPA FORM INJE 005</t>
        </is>
      </c>
      <c r="B6" s="7" t="inlineStr">
        <is>
          <t>PROCEDIMENTO</t>
        </is>
      </c>
      <c r="C6" s="7" t="inlineStr">
        <is>
          <t>FISC INJE VITA 001</t>
        </is>
      </c>
      <c r="D6" s="7" t="inlineStr">
        <is>
          <t>GERA TEXTO NF</t>
        </is>
      </c>
      <c r="E6" s="7" t="inlineStr">
        <is>
          <t>SE PROCEDIMENTO EXECUTADO E PAGO</t>
        </is>
      </c>
      <c r="F6" s="7" t="inlineStr">
        <is>
          <t>GERAR TEXTO NF B12 IM</t>
        </is>
      </c>
      <c r="G6" s="7" t="inlineStr">
        <is>
          <t>POPULAR TEMPLATE FISCAL</t>
        </is>
      </c>
      <c r="H6" s="7" t="inlineStr">
        <is>
          <t>BLOQUEAR SEM 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2026-04-03T12:08:16Z</dcterms:created>
  <dcterms:modified xmlns:dcterms="http://purl.org/dc/terms/" xmlns:xsi="http://www.w3.org/2001/XMLSchema-instance" xsi:type="dcterms:W3CDTF">2026-04-03T16:14:58Z</dcterms:modified>
</cp:coreProperties>
</file>