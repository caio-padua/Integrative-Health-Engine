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_ME" sheetId="1" state="visible" r:id="rId1"/>
    <sheet xmlns:r="http://schemas.openxmlformats.org/officeDocument/2006/relationships" name="APPEND_BLUEPRINT_IA" sheetId="2" state="visible" r:id="rId2"/>
    <sheet xmlns:r="http://schemas.openxmlformats.org/officeDocument/2006/relationships" name="APPEND_LEGENDA_HUMANA" sheetId="3" state="visible" r:id="rId3"/>
    <sheet xmlns:r="http://schemas.openxmlformats.org/officeDocument/2006/relationships" name="TESTES_SEMANTICOS_APPEND" sheetId="4" state="visible" r:id="rId4"/>
    <sheet xmlns:r="http://schemas.openxmlformats.org/officeDocument/2006/relationships" name="IA ENTENDER" sheetId="5" state="visible" r:id="rId5"/>
    <sheet xmlns:r="http://schemas.openxmlformats.org/officeDocument/2006/relationships" name="HUMANO ENTENDER" sheetId="6" state="visible" r:id="rId6"/>
    <sheet xmlns:r="http://schemas.openxmlformats.org/officeDocument/2006/relationships" name="FISCAL MAPA OPERACIONAL" sheetId="7" state="visible" r:id="rId7"/>
    <sheet xmlns:r="http://schemas.openxmlformats.org/officeDocument/2006/relationships" name="FISCAL GATEWAYS" sheetId="8" state="visible" r:id="rId8"/>
    <sheet xmlns:r="http://schemas.openxmlformats.org/officeDocument/2006/relationships" name="FISCAL PROCEDIMENTOS" sheetId="9" state="visible" r:id="rId9"/>
    <sheet xmlns:r="http://schemas.openxmlformats.org/officeDocument/2006/relationships" name="FISCAL TEXTO NF" sheetId="10" state="visible" r:id="rId10"/>
    <sheet xmlns:r="http://schemas.openxmlformats.org/officeDocument/2006/relationships" name="FISCAL TESTES SEMANTICOS" sheetId="11" state="visible" r:id="rId11"/>
    <sheet xmlns:r="http://schemas.openxmlformats.org/officeDocument/2006/relationships" name="FISCAL LEGENDA HUMANA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Arial"/>
      <b val="1"/>
      <color rgb="00FFFFFF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1F2937"/>
      </patternFill>
    </fill>
    <fill>
      <patternFill patternType="solid">
        <fgColor rgb="00D9EDEF"/>
      </patternFill>
    </fill>
    <fill>
      <patternFill patternType="solid">
        <fgColor rgb="00FCE5CD"/>
      </patternFill>
    </fill>
    <fill>
      <patternFill patternType="solid">
        <fgColor rgb="00EADCF8"/>
      </patternFill>
    </fill>
  </fills>
  <borders count="3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2" fillId="5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0" fillId="3" borderId="2" applyAlignment="1" pivotButton="0" quotePrefix="0" xfId="0">
      <alignment vertical="top" wrapText="1"/>
    </xf>
    <xf numFmtId="0" fontId="0" fillId="4" borderId="2" applyAlignment="1" pivotButton="0" quotePrefix="0" xfId="0">
      <alignment vertical="top" wrapText="1"/>
    </xf>
    <xf numFmtId="0" fontId="2" fillId="5" borderId="2" applyAlignment="1" pivotButton="0" quotePrefix="0" xfId="0">
      <alignment horizontal="center" vertical="center" wrapText="1"/>
    </xf>
    <xf numFmtId="0" fontId="0" fillId="6" borderId="2" applyAlignment="1" pivotButton="0" quotePrefix="0" xfId="0">
      <alignment vertical="top" wrapText="1"/>
    </xf>
    <xf numFmtId="0" fontId="0" fillId="7" borderId="2" applyAlignment="1" pivotButton="0" quotePrefix="0" xfId="0">
      <alignment vertical="top" wrapText="1"/>
    </xf>
    <xf numFmtId="0" fontId="0" fillId="8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ables/table1.xml><?xml version="1.0" encoding="utf-8"?>
<table xmlns="http://schemas.openxmlformats.org/spreadsheetml/2006/main" id="1" name="AppendBlueprintIA" displayName="AppendBlueprintIA" ref="A1:G25" headerRowCount="1">
  <autoFilter ref="A1:G25"/>
  <tableColumns count="7">
    <tableColumn id="1" name="BLOCO"/>
    <tableColumn id="2" name="CHAVE"/>
    <tableColumn id="3" name="VALOR"/>
    <tableColumn id="4" name="TIPO"/>
    <tableColumn id="5" name="LEITURA IA"/>
    <tableColumn id="6" name="EXEMPLO"/>
    <tableColumn id="7" name="OBS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AppendLegendaHumana" displayName="AppendLegendaHumana" ref="A1:E13" headerRowCount="1">
  <autoFilter ref="A1:E13"/>
  <tableColumns count="5">
    <tableColumn id="1" name="TEMA"/>
    <tableColumn id="2" name="EXPLICACAO CURTA"/>
    <tableColumn id="3" name="DECISAO RECOMENDADA"/>
    <tableColumn id="4" name="MOTIVO"/>
    <tableColumn id="5" name="RISCO SE MISTURAR"/>
  </tableColumns>
  <tableStyleInfo name="TableStyleMedium4" showRowStripes="1" showColumnStripes="0"/>
</table>
</file>

<file path=xl/tables/table3.xml><?xml version="1.0" encoding="utf-8"?>
<table xmlns="http://schemas.openxmlformats.org/spreadsheetml/2006/main" id="3" name="TestesSemanticosAppend" displayName="TestesSemanticosAppend" ref="A1:H13" headerRowCount="1">
  <autoFilter ref="A1:H13"/>
  <tableColumns count="8">
    <tableColumn id="1" name="TESTE ID"/>
    <tableColumn id="2" name="ENTRADA / ACAO"/>
    <tableColumn id="3" name="ESPERADO NO MOTOR"/>
    <tableColumn id="4" name="PLACEHOLDER CONTRATO"/>
    <tableColumn id="5" name="PLACEHOLDER NF"/>
    <tableColumn id="6" name="VALIDACAO HUMANA"/>
    <tableColumn id="7" name="STATUS"/>
    <tableColumn id="8" name="OBS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6" t="inlineStr">
        <is>
          <t>PACOTE APPEND-ONLY PARA INCORPORACAO MANUAL NO MOTOR CLINICO</t>
        </is>
      </c>
      <c r="B1" s="1" t="inlineStr"/>
      <c r="C1" s="1" t="inlineStr"/>
    </row>
    <row r="2">
      <c r="A2" s="7" t="inlineStr">
        <is>
          <t>ARQUIVO-BASE ANALISADO</t>
        </is>
      </c>
      <c r="B2" s="7" t="inlineStr">
        <is>
          <t>PADCOM SAAS MOTOR CLINICO V14.1 (AUDITORIA SEMANTICA E TOGGLES).xlsx</t>
        </is>
      </c>
      <c r="C2" s="7" t="inlineStr">
        <is>
          <t>https://drive.google.com/file/d/102EqKuj4SKKmonMYH80ETVf2PUcVRFLM</t>
        </is>
      </c>
    </row>
    <row r="3">
      <c r="A3" s="7" t="inlineStr">
        <is>
          <t>ULTIMA DATA IDENTIFICADA</t>
        </is>
      </c>
      <c r="B3" s="7" t="inlineStr">
        <is>
          <t>2026-04-03 11:56:54Z</t>
        </is>
      </c>
      <c r="C3" s="2" t="inlineStr"/>
    </row>
    <row r="4">
      <c r="A4" s="7" t="inlineStr">
        <is>
          <t>NOME SUGERIDO DA PROXIMA VERSAO</t>
        </is>
      </c>
      <c r="B4" s="7" t="inlineStr">
        <is>
          <t>PADCOM SAAS MOTOR CLINICO V14.2 (QUESTIONARIO CONTRATOS NF PLACEHOLDERS)</t>
        </is>
      </c>
      <c r="C4" s="2" t="inlineStr"/>
    </row>
    <row r="5">
      <c r="A5" s="7" t="inlineStr">
        <is>
          <t>COMO USAR</t>
        </is>
      </c>
      <c r="B5" s="7" t="inlineStr">
        <is>
          <t>1) COPIAR SOMENTE AS LINHAS DA ABA 'APPEND_BLUEPRINT_IA' E COLAR ABAIXO DA ULTIMA LINHA DA ABA IA EXISTENTE. 2) COPIAR SOMENTE AS LINHAS DA ABA 'APPEND_LEGENDA_HUMANA' E COLAR ABAIXO DA ULTIMA LINHA DA ABA HUMANA EXISTENTE. 3) USAR 'TESTES_SEMANTICOS_APPEND' COMO CHECKLIST DE VALIDACAO.</t>
        </is>
      </c>
      <c r="C5" s="2" t="inlineStr"/>
    </row>
    <row r="6">
      <c r="A6" s="7" t="inlineStr">
        <is>
          <t>LIMITACAO TECNICA</t>
        </is>
      </c>
      <c r="B6" s="7" t="inlineStr">
        <is>
          <t>ESTE ARQUIVO NAO SUBSTITUI O WORKBOOK ORIGINAL. ELE FOI GERADO COMO PACOTE DE APPEND PARA COPIAR/COLAR PORQUE O ARQUIVO BINARIO ORIGINAL NO DRIVE CONECTADO NAO FOI DISPONIBILIZADO AQUI PARA EDICAO DIRETA.</t>
        </is>
      </c>
      <c r="C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6" t="inlineStr">
        <is>
          <t>BLOCO</t>
        </is>
      </c>
      <c r="B1" s="6" t="inlineStr">
        <is>
          <t>CHAVE</t>
        </is>
      </c>
      <c r="C1" s="6" t="inlineStr">
        <is>
          <t>VALOR</t>
        </is>
      </c>
      <c r="D1" s="6" t="inlineStr">
        <is>
          <t>TIPO</t>
        </is>
      </c>
      <c r="E1" s="6" t="inlineStr">
        <is>
          <t>LEITURA IA</t>
        </is>
      </c>
      <c r="F1" s="6" t="inlineStr">
        <is>
          <t>EXEMPLO</t>
        </is>
      </c>
      <c r="G1" s="6" t="inlineStr">
        <is>
          <t>OBS</t>
        </is>
      </c>
    </row>
    <row r="2">
      <c r="A2" s="7" t="inlineStr">
        <is>
          <t>QUESTIONARIO</t>
        </is>
      </c>
      <c r="B2" s="7" t="inlineStr">
        <is>
          <t>PERMITE EDICAO POS RESPOSTA</t>
        </is>
      </c>
      <c r="C2" s="7" t="inlineStr">
        <is>
          <t>1</t>
        </is>
      </c>
      <c r="D2" s="7" t="inlineStr">
        <is>
          <t>BOOL</t>
        </is>
      </c>
      <c r="E2" s="7" t="inlineStr">
        <is>
          <t>SE 1 O QUESTIONARIO PODE SER REABERTO E REPROCESSADO</t>
        </is>
      </c>
      <c r="F2" s="7" t="inlineStr">
        <is>
          <t>1</t>
        </is>
      </c>
      <c r="G2" s="7" t="inlineStr">
        <is>
          <t>NAO APAGA VERSAO ANTERIOR</t>
        </is>
      </c>
    </row>
    <row r="3">
      <c r="A3" s="7" t="inlineStr">
        <is>
          <t>QUESTIONARIO</t>
        </is>
      </c>
      <c r="B3" s="7" t="inlineStr">
        <is>
          <t>REPROCESSAR MOTOR AO EDITAR</t>
        </is>
      </c>
      <c r="C3" s="7" t="inlineStr">
        <is>
          <t>1</t>
        </is>
      </c>
      <c r="D3" s="7" t="inlineStr">
        <is>
          <t>BOOL</t>
        </is>
      </c>
      <c r="E3" s="7" t="inlineStr">
        <is>
          <t>SE 1 TODA EDICAO REATIVA MATCH SEMANTICO E SAIDAS</t>
        </is>
      </c>
      <c r="F3" s="7" t="inlineStr">
        <is>
          <t>1</t>
        </is>
      </c>
      <c r="G3" s="7" t="inlineStr">
        <is>
          <t>CORE DO MOTOR CLINICO</t>
        </is>
      </c>
    </row>
    <row r="4">
      <c r="A4" s="7" t="inlineStr">
        <is>
          <t>QUESTIONARIO</t>
        </is>
      </c>
      <c r="B4" s="7" t="inlineStr">
        <is>
          <t>VERSAO RESPOSTA</t>
        </is>
      </c>
      <c r="C4" s="7" t="inlineStr">
        <is>
          <t>ATIVA</t>
        </is>
      </c>
      <c r="D4" s="7" t="inlineStr">
        <is>
          <t>ENUM</t>
        </is>
      </c>
      <c r="E4" s="7" t="inlineStr">
        <is>
          <t>MARCA QUAL E A VERSAO VALIDA PARA DOCUMENTOS E NF</t>
        </is>
      </c>
      <c r="F4" s="7" t="inlineStr">
        <is>
          <t>V1 / V2 / V3</t>
        </is>
      </c>
      <c r="G4" s="7" t="inlineStr">
        <is>
          <t>ULTIMA VERSAO APROVADA</t>
        </is>
      </c>
    </row>
    <row r="5">
      <c r="A5" s="7" t="inlineStr">
        <is>
          <t>QUESTIONARIO</t>
        </is>
      </c>
      <c r="B5" s="7" t="inlineStr">
        <is>
          <t>REGISTRAR DATA HORA EDICAO</t>
        </is>
      </c>
      <c r="C5" s="7" t="inlineStr">
        <is>
          <t>1</t>
        </is>
      </c>
      <c r="D5" s="7" t="inlineStr">
        <is>
          <t>BOOL</t>
        </is>
      </c>
      <c r="E5" s="7" t="inlineStr">
        <is>
          <t>GRAVA TIMESTAMP DA EDICAO</t>
        </is>
      </c>
      <c r="F5" s="7" t="inlineStr">
        <is>
          <t>1</t>
        </is>
      </c>
      <c r="G5" s="7" t="inlineStr">
        <is>
          <t>AUDITORIA</t>
        </is>
      </c>
    </row>
    <row r="6">
      <c r="A6" s="7" t="inlineStr">
        <is>
          <t>QUESTIONARIO</t>
        </is>
      </c>
      <c r="B6" s="7" t="inlineStr">
        <is>
          <t>REGISTRAR USUARIO EDICAO</t>
        </is>
      </c>
      <c r="C6" s="7" t="inlineStr">
        <is>
          <t>1</t>
        </is>
      </c>
      <c r="D6" s="7" t="inlineStr">
        <is>
          <t>BOOL</t>
        </is>
      </c>
      <c r="E6" s="7" t="inlineStr">
        <is>
          <t>GRAVA QUEM ALTEROU A RESPOSTA</t>
        </is>
      </c>
      <c r="F6" s="7" t="inlineStr">
        <is>
          <t>SECRETARIA / MEDICO / VALIDADOR</t>
        </is>
      </c>
      <c r="G6" s="7" t="inlineStr">
        <is>
          <t>AUDITORIA</t>
        </is>
      </c>
    </row>
    <row r="7">
      <c r="A7" s="7" t="inlineStr">
        <is>
          <t>QUESTIONARIO</t>
        </is>
      </c>
      <c r="B7" s="7" t="inlineStr">
        <is>
          <t>REGISTRAR MOTIVO EDICAO</t>
        </is>
      </c>
      <c r="C7" s="7" t="inlineStr">
        <is>
          <t>1</t>
        </is>
      </c>
      <c r="D7" s="7" t="inlineStr">
        <is>
          <t>BOOL</t>
        </is>
      </c>
      <c r="E7" s="7" t="inlineStr">
        <is>
          <t>EXIGE MOTIVO CURTO AO ALTERAR RESPOSTA</t>
        </is>
      </c>
      <c r="F7" s="7" t="inlineStr">
        <is>
          <t>CORRECAO CADASTRAL</t>
        </is>
      </c>
      <c r="G7" s="7" t="inlineStr">
        <is>
          <t>RECOMENDADO</t>
        </is>
      </c>
    </row>
    <row r="8">
      <c r="A8" s="8" t="inlineStr">
        <is>
          <t>SEMANTICA</t>
        </is>
      </c>
      <c r="B8" s="8" t="inlineStr">
        <is>
          <t>NORMALIZAR TEXTO LIVRE</t>
        </is>
      </c>
      <c r="C8" s="8" t="inlineStr">
        <is>
          <t>1</t>
        </is>
      </c>
      <c r="D8" s="8" t="inlineStr">
        <is>
          <t>BOOL</t>
        </is>
      </c>
      <c r="E8" s="8" t="inlineStr">
        <is>
          <t>CONVERTE QUEIXA / SINTOMA LIVRE EM CODIGOS PADRONIZADOS</t>
        </is>
      </c>
      <c r="F8" s="8" t="inlineStr">
        <is>
          <t>1</t>
        </is>
      </c>
      <c r="G8" s="8" t="inlineStr">
        <is>
          <t>ANTES DOS PLACEHOLDERS</t>
        </is>
      </c>
    </row>
    <row r="9">
      <c r="A9" s="8" t="inlineStr">
        <is>
          <t>SEMANTICA</t>
        </is>
      </c>
      <c r="B9" s="8" t="inlineStr">
        <is>
          <t>DETECTAR CONTRADICAO CLINICA</t>
        </is>
      </c>
      <c r="C9" s="8" t="inlineStr">
        <is>
          <t>1</t>
        </is>
      </c>
      <c r="D9" s="8" t="inlineStr">
        <is>
          <t>BOOL</t>
        </is>
      </c>
      <c r="E9" s="8" t="inlineStr">
        <is>
          <t>SINALIZA COMBINACOES INCONSISTENTES</t>
        </is>
      </c>
      <c r="F9" s="8" t="inlineStr">
        <is>
          <t>GRAVIDEZ + SEXO MASCULINO</t>
        </is>
      </c>
      <c r="G9" s="8" t="inlineStr">
        <is>
          <t>BLOQUEAR ATE VALIDACAO</t>
        </is>
      </c>
    </row>
    <row r="10">
      <c r="A10" s="8" t="inlineStr">
        <is>
          <t>SEMANTICA</t>
        </is>
      </c>
      <c r="B10" s="8" t="inlineStr">
        <is>
          <t>DETECTAR DADO OBRIGATORIO AUSENTE</t>
        </is>
      </c>
      <c r="C10" s="8" t="inlineStr">
        <is>
          <t>1</t>
        </is>
      </c>
      <c r="D10" s="8" t="inlineStr">
        <is>
          <t>BOOL</t>
        </is>
      </c>
      <c r="E10" s="8" t="inlineStr">
        <is>
          <t>NAO GERA DOCUMENTO SE FALTAR CAMPO CRITICO</t>
        </is>
      </c>
      <c r="F10" s="8" t="inlineStr">
        <is>
          <t>CPF VAZIO</t>
        </is>
      </c>
      <c r="G10" s="8" t="inlineStr">
        <is>
          <t>BLOQUEIO JURIDICO/FISCAL</t>
        </is>
      </c>
    </row>
    <row r="11">
      <c r="A11" s="8" t="inlineStr">
        <is>
          <t>MOTOR</t>
        </is>
      </c>
      <c r="B11" s="8" t="inlineStr">
        <is>
          <t>GERAR PLACEHOLDERS CONTRATO</t>
        </is>
      </c>
      <c r="C11" s="8" t="inlineStr">
        <is>
          <t>1</t>
        </is>
      </c>
      <c r="D11" s="8" t="inlineStr">
        <is>
          <t>BOOL</t>
        </is>
      </c>
      <c r="E11" s="8" t="inlineStr">
        <is>
          <t>MONTA OBJETO PARA PDF DE CONTRATO / CONSENTIMENTO</t>
        </is>
      </c>
      <c r="F11" s="8" t="inlineStr">
        <is>
          <t>1</t>
        </is>
      </c>
      <c r="G11" s="8" t="inlineStr">
        <is>
          <t>SAIDA DOCUMENTAL</t>
        </is>
      </c>
    </row>
    <row r="12">
      <c r="A12" s="8" t="inlineStr">
        <is>
          <t>MOTOR</t>
        </is>
      </c>
      <c r="B12" s="8" t="inlineStr">
        <is>
          <t>GERAR PLACEHOLDERS NF</t>
        </is>
      </c>
      <c r="C12" s="8" t="inlineStr">
        <is>
          <t>1</t>
        </is>
      </c>
      <c r="D12" s="8" t="inlineStr">
        <is>
          <t>BOOL</t>
        </is>
      </c>
      <c r="E12" s="8" t="inlineStr">
        <is>
          <t>MONTA OBJETO PARA BACKEND FISCAL</t>
        </is>
      </c>
      <c r="F12" s="8" t="inlineStr">
        <is>
          <t>1</t>
        </is>
      </c>
      <c r="G12" s="8" t="inlineStr">
        <is>
          <t>SAIDA FISCAL</t>
        </is>
      </c>
    </row>
    <row r="13">
      <c r="A13" s="8" t="inlineStr">
        <is>
          <t>MOTOR</t>
        </is>
      </c>
      <c r="B13" s="8" t="inlineStr">
        <is>
          <t>GERAR LOG AUDITORIA DOCUMENTAL</t>
        </is>
      </c>
      <c r="C13" s="8" t="inlineStr">
        <is>
          <t>1</t>
        </is>
      </c>
      <c r="D13" s="8" t="inlineStr">
        <is>
          <t>BOOL</t>
        </is>
      </c>
      <c r="E13" s="8" t="inlineStr">
        <is>
          <t>REGISTRA QUAL RESPOSTA GEROU QUAL DOCUMENTO</t>
        </is>
      </c>
      <c r="F13" s="8" t="inlineStr">
        <is>
          <t>1</t>
        </is>
      </c>
      <c r="G13" s="8" t="inlineStr">
        <is>
          <t>TRILHA DE PROVA</t>
        </is>
      </c>
    </row>
    <row r="14">
      <c r="A14" s="7" t="inlineStr">
        <is>
          <t>PLACEHOLDERS</t>
        </is>
      </c>
      <c r="B14" s="7" t="inlineStr">
        <is>
          <t>CAMPOS CONTRATO OBRIGATORIOS</t>
        </is>
      </c>
      <c r="C14" s="7" t="inlineStr">
        <is>
          <t>PACIENTE|CPF|PROCEDIMENTO|EMPRESA|PROFISSIONAL|VALOR</t>
        </is>
      </c>
      <c r="D14" s="7" t="inlineStr">
        <is>
          <t>ENUM LIST</t>
        </is>
      </c>
      <c r="E14" s="7" t="inlineStr">
        <is>
          <t>SEM ESSES CAMPOS O PDF CONTRATUAL FICA BLOQUEADO</t>
        </is>
      </c>
      <c r="F14" s="7" t="inlineStr">
        <is>
          <t>PACIENTE|CPF|PROCEDIMENTO</t>
        </is>
      </c>
      <c r="G14" s="7" t="inlineStr">
        <is>
          <t>MINIMO JURIDICO OPERACIONAL</t>
        </is>
      </c>
    </row>
    <row r="15">
      <c r="A15" s="7" t="inlineStr">
        <is>
          <t>PLACEHOLDERS</t>
        </is>
      </c>
      <c r="B15" s="7" t="inlineStr">
        <is>
          <t>CAMPOS NF OBRIGATORIOS</t>
        </is>
      </c>
      <c r="C15" s="7" t="inlineStr">
        <is>
          <t>TOMADOR|CPF/CNPJ|SERVICO|CODIGO SERVICO|VALOR|MUNICIPIO</t>
        </is>
      </c>
      <c r="D15" s="7" t="inlineStr">
        <is>
          <t>ENUM LIST</t>
        </is>
      </c>
      <c r="E15" s="7" t="inlineStr">
        <is>
          <t>SEM ESSES CAMPOS O PAYLOAD FISCAL FICA BLOQUEADO</t>
        </is>
      </c>
      <c r="F15" s="7" t="inlineStr">
        <is>
          <t>SERVICO|VALOR|MUNICIPIO</t>
        </is>
      </c>
      <c r="G15" s="7" t="inlineStr">
        <is>
          <t>MINIMO FISCAL</t>
        </is>
      </c>
    </row>
    <row r="16">
      <c r="A16" s="7" t="inlineStr">
        <is>
          <t>PLACEHOLDERS</t>
        </is>
      </c>
      <c r="B16" s="7" t="inlineStr">
        <is>
          <t>ORIGEM DADOS PACIENTE</t>
        </is>
      </c>
      <c r="C16" s="7" t="inlineStr">
        <is>
          <t>PACIENTES + QUESTIONARIO</t>
        </is>
      </c>
      <c r="D16" s="7" t="inlineStr">
        <is>
          <t>TEXT</t>
        </is>
      </c>
      <c r="E16" s="7" t="inlineStr">
        <is>
          <t>DADOS VEM DO CADASTRO E DA VERSAO ATIVA DO QUESTIONARIO</t>
        </is>
      </c>
      <c r="F16" s="7" t="inlineStr">
        <is>
          <t>PACIENTES + QUESTIONARIO</t>
        </is>
      </c>
      <c r="G16" s="7" t="inlineStr">
        <is>
          <t>NAO DUPLICAR FONTE</t>
        </is>
      </c>
    </row>
    <row r="17">
      <c r="A17" s="7" t="inlineStr">
        <is>
          <t>PLACEHOLDERS</t>
        </is>
      </c>
      <c r="B17" s="7" t="inlineStr">
        <is>
          <t>ORIGEM DADOS EMPRESA</t>
        </is>
      </c>
      <c r="C17" s="7" t="inlineStr">
        <is>
          <t>EMPRESAS / UNIDADES</t>
        </is>
      </c>
      <c r="D17" s="7" t="inlineStr">
        <is>
          <t>TEXT</t>
        </is>
      </c>
      <c r="E17" s="7" t="inlineStr">
        <is>
          <t>EMISSOR E RODAPE CONTRATUAL SAEM DA BASE DA EMPRESA</t>
        </is>
      </c>
      <c r="F17" s="7" t="inlineStr">
        <is>
          <t>EMP001</t>
        </is>
      </c>
      <c r="G17" s="7" t="inlineStr">
        <is>
          <t>MULTIEMPRESA</t>
        </is>
      </c>
    </row>
    <row r="18">
      <c r="A18" s="7" t="inlineStr">
        <is>
          <t>PLACEHOLDERS</t>
        </is>
      </c>
      <c r="B18" s="7" t="inlineStr">
        <is>
          <t>ORIGEM DADOS PROFISSIONAL</t>
        </is>
      </c>
      <c r="C18" s="7" t="inlineStr">
        <is>
          <t>PROFISSIONAIS</t>
        </is>
      </c>
      <c r="D18" s="7" t="inlineStr">
        <is>
          <t>TEXT</t>
        </is>
      </c>
      <c r="E18" s="7" t="inlineStr">
        <is>
          <t>ASSINATURA E RESPONSAVEL TECNICO SAEM DA BASE PROFISSIONAIS</t>
        </is>
      </c>
      <c r="F18" s="7" t="inlineStr">
        <is>
          <t>PROF001</t>
        </is>
      </c>
      <c r="G18" s="7" t="inlineStr">
        <is>
          <t>MULTIPERFIL</t>
        </is>
      </c>
    </row>
    <row r="19">
      <c r="A19" s="7" t="inlineStr">
        <is>
          <t>PLACEHOLDERS</t>
        </is>
      </c>
      <c r="B19" s="7" t="inlineStr">
        <is>
          <t>ORIGEM DADOS PROCEDIMENTO</t>
        </is>
      </c>
      <c r="C19" s="7" t="inlineStr">
        <is>
          <t>BASE EXAMES MOTOR / PROTOCOLOS / FORMULAS</t>
        </is>
      </c>
      <c r="D19" s="7" t="inlineStr">
        <is>
          <t>TEXT</t>
        </is>
      </c>
      <c r="E19" s="7" t="inlineStr">
        <is>
          <t>ITEM FISCAL E TEXTO CONTRATUAL DEVEM VIR DO ITEM APROVADO</t>
        </is>
      </c>
      <c r="F19" s="7" t="inlineStr">
        <is>
          <t>EXAM TIRE DIAG 001</t>
        </is>
      </c>
      <c r="G19" s="7" t="inlineStr">
        <is>
          <t>USAR CODIGO PADCOM</t>
        </is>
      </c>
    </row>
    <row r="20">
      <c r="A20" s="8" t="inlineStr">
        <is>
          <t>JURIDICO</t>
        </is>
      </c>
      <c r="B20" s="8" t="inlineStr">
        <is>
          <t>BLOQUEAR CONTRATO SEM VALIDACAO</t>
        </is>
      </c>
      <c r="C20" s="8" t="inlineStr">
        <is>
          <t>1</t>
        </is>
      </c>
      <c r="D20" s="8" t="inlineStr">
        <is>
          <t>BOOL</t>
        </is>
      </c>
      <c r="E20" s="8" t="inlineStr">
        <is>
          <t>NAO GERA PDF FINAL SE CASO EXIGIR VALIDACAO E ELA NAO EXISTIR</t>
        </is>
      </c>
      <c r="F20" s="8" t="inlineStr">
        <is>
          <t>1</t>
        </is>
      </c>
      <c r="G20" s="8" t="inlineStr">
        <is>
          <t>GOVERNANCA</t>
        </is>
      </c>
    </row>
    <row r="21">
      <c r="A21" s="8" t="inlineStr">
        <is>
          <t>FISCAL</t>
        </is>
      </c>
      <c r="B21" s="8" t="inlineStr">
        <is>
          <t>BLOQUEAR NF SEM PRECO OU CODIGO</t>
        </is>
      </c>
      <c r="C21" s="8" t="inlineStr">
        <is>
          <t>1</t>
        </is>
      </c>
      <c r="D21" s="8" t="inlineStr">
        <is>
          <t>BOOL</t>
        </is>
      </c>
      <c r="E21" s="8" t="inlineStr">
        <is>
          <t>NAO ENVIA PAYLOAD FISCAL SEM VALOR OU CODIGO DE SERVICO</t>
        </is>
      </c>
      <c r="F21" s="8" t="inlineStr">
        <is>
          <t>1</t>
        </is>
      </c>
      <c r="G21" s="8" t="inlineStr">
        <is>
          <t>EVITA ERRO NO BACKEND</t>
        </is>
      </c>
    </row>
    <row r="22">
      <c r="A22" s="7" t="inlineStr">
        <is>
          <t>PERFIS</t>
        </is>
      </c>
      <c r="B22" s="7" t="inlineStr">
        <is>
          <t>EDITAR QUESTIONARIO</t>
        </is>
      </c>
      <c r="C22" s="7" t="inlineStr">
        <is>
          <t>MEDICO|SECRETARIA|VALIDADOR 1|VALIDADOR 2|VALIDADOR 3|MEDICO +4</t>
        </is>
      </c>
      <c r="D22" s="7" t="inlineStr">
        <is>
          <t>ENUM LIST</t>
        </is>
      </c>
      <c r="E22" s="7" t="inlineStr">
        <is>
          <t>LISTA DE PERFIS COM PERMISSAO DE EDICAO</t>
        </is>
      </c>
      <c r="F22" s="7" t="inlineStr">
        <is>
          <t>MEDICO|SECRETARIA</t>
        </is>
      </c>
      <c r="G22" s="7" t="inlineStr">
        <is>
          <t>ALINHAR COM ACL</t>
        </is>
      </c>
    </row>
    <row r="23">
      <c r="A23" s="7" t="inlineStr">
        <is>
          <t>PERFIS</t>
        </is>
      </c>
      <c r="B23" s="7" t="inlineStr">
        <is>
          <t>LIBERAR PDF CONTRATUAL</t>
        </is>
      </c>
      <c r="C23" s="7" t="inlineStr">
        <is>
          <t>MEDICO|MEDICO +4</t>
        </is>
      </c>
      <c r="D23" s="7" t="inlineStr">
        <is>
          <t>ENUM LIST</t>
        </is>
      </c>
      <c r="E23" s="7" t="inlineStr">
        <is>
          <t>QUEM PODE APROVAR SAIDA FINAL DE DOCUMENTO</t>
        </is>
      </c>
      <c r="F23" s="7" t="inlineStr">
        <is>
          <t>MEDICO</t>
        </is>
      </c>
      <c r="G23" s="7" t="inlineStr">
        <is>
          <t>NAO LIBERAR PARA PERFIL OPERACIONAL PURO</t>
        </is>
      </c>
    </row>
    <row r="24">
      <c r="A24" s="7" t="inlineStr">
        <is>
          <t>PERFIS</t>
        </is>
      </c>
      <c r="B24" s="7" t="inlineStr">
        <is>
          <t>LIBERAR PAYLOAD NF</t>
        </is>
      </c>
      <c r="C24" s="7" t="inlineStr">
        <is>
          <t>SECRETARIA|FINANCEIRO|MEDICO</t>
        </is>
      </c>
      <c r="D24" s="7" t="inlineStr">
        <is>
          <t>ENUM LIST</t>
        </is>
      </c>
      <c r="E24" s="7" t="inlineStr">
        <is>
          <t>QUEM PODE ACIONAR O ENVIO FISCAL</t>
        </is>
      </c>
      <c r="F24" s="7" t="inlineStr">
        <is>
          <t>SECRETARIA|FINANCEIRO</t>
        </is>
      </c>
      <c r="G24" s="7" t="inlineStr">
        <is>
          <t>COM LOG</t>
        </is>
      </c>
    </row>
    <row r="25">
      <c r="A25" s="7" t="inlineStr">
        <is>
          <t>SAIDA</t>
        </is>
      </c>
      <c r="B25" s="7" t="inlineStr">
        <is>
          <t>DOCUMENTOS GERADOS</t>
        </is>
      </c>
      <c r="C25" s="7" t="inlineStr">
        <is>
          <t>PDF CONTRATO|PDF CONSENTIMENTO|PAYLOAD NF|LOG AUDITORIA</t>
        </is>
      </c>
      <c r="D25" s="7" t="inlineStr">
        <is>
          <t>ENUM LIST</t>
        </is>
      </c>
      <c r="E25" s="7" t="inlineStr">
        <is>
          <t>PACOTE MINIMO APOS VALIDACAO</t>
        </is>
      </c>
      <c r="F25" s="7" t="inlineStr">
        <is>
          <t>PDF CONTRATO|PAYLOAD NF</t>
        </is>
      </c>
      <c r="G25" s="7" t="inlineStr">
        <is>
          <t>EXPANDIVEL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6" t="inlineStr">
        <is>
          <t>TEMA</t>
        </is>
      </c>
      <c r="B1" s="6" t="inlineStr">
        <is>
          <t>EXPLICACAO CURTA</t>
        </is>
      </c>
      <c r="C1" s="6" t="inlineStr">
        <is>
          <t>DECISAO RECOMENDADA</t>
        </is>
      </c>
      <c r="D1" s="6" t="inlineStr">
        <is>
          <t>MOTIVO</t>
        </is>
      </c>
      <c r="E1" s="6" t="inlineStr">
        <is>
          <t>RISCO SE MISTURAR</t>
        </is>
      </c>
    </row>
    <row r="2">
      <c r="A2" s="7" t="inlineStr">
        <is>
          <t>EDICAO POS RESPOSTA</t>
        </is>
      </c>
      <c r="B2" s="7" t="inlineStr">
        <is>
          <t>SE O QUESTIONARIO FOR EDITADO O MOTOR DEVE REPROCESSAR TUDO</t>
        </is>
      </c>
      <c r="C2" s="7" t="inlineStr">
        <is>
          <t>ATIVAR REPROCESSAMENTO AUTOMATICO</t>
        </is>
      </c>
      <c r="D2" s="7" t="inlineStr">
        <is>
          <t>EVITA CONTRATO E NF SAIREM COM DADOS ANTIGOS</t>
        </is>
      </c>
      <c r="E2" s="7" t="inlineStr">
        <is>
          <t>SEM ISSO O DOCUMENTO PODE FICAR DESALINHADO</t>
        </is>
      </c>
    </row>
    <row r="3">
      <c r="A3" s="7" t="inlineStr">
        <is>
          <t>VERSAO DO QUESTIONARIO</t>
        </is>
      </c>
      <c r="B3" s="7" t="inlineStr">
        <is>
          <t>SO UMA VERSAO DEVE VALER PARA PDF E NF</t>
        </is>
      </c>
      <c r="C3" s="7" t="inlineStr">
        <is>
          <t>USAR SEMPRE ULTIMA VERSAO APROVADA</t>
        </is>
      </c>
      <c r="D3" s="7" t="inlineStr">
        <is>
          <t>GARANTE RASTREABILIDADE</t>
        </is>
      </c>
      <c r="E3" s="7" t="inlineStr">
        <is>
          <t>VERSOES PARALELAS GERAM CONFLITO</t>
        </is>
      </c>
    </row>
    <row r="4">
      <c r="A4" s="7" t="inlineStr">
        <is>
          <t>MOTIVO DA EDICAO</t>
        </is>
      </c>
      <c r="B4" s="7" t="inlineStr">
        <is>
          <t>QUEM EDITA PRECISA DIZER O MOTIVO</t>
        </is>
      </c>
      <c r="C4" s="7" t="inlineStr">
        <is>
          <t>EXIGIR TEXTO CURTO NA ALTERACAO</t>
        </is>
      </c>
      <c r="D4" s="7" t="inlineStr">
        <is>
          <t>FACILITA AUDITORIA E DEFESA</t>
        </is>
      </c>
      <c r="E4" s="7" t="inlineStr">
        <is>
          <t>SEM MOTIVO FICA SEM PROVA OPERACIONAL</t>
        </is>
      </c>
    </row>
    <row r="5">
      <c r="A5" s="7" t="inlineStr">
        <is>
          <t>PLACEHOLDERS CONTRATUAIS</t>
        </is>
      </c>
      <c r="B5" s="7" t="inlineStr">
        <is>
          <t>CAMPOS DO CONTRATO DEVEM VIR DO CADASTRO E DO QUESTIONARIO</t>
        </is>
      </c>
      <c r="C5" s="7" t="inlineStr">
        <is>
          <t>MAPEAR PACIENTE EMPRESA PROFISSIONAL PROCEDIMENTO E VALOR</t>
        </is>
      </c>
      <c r="D5" s="7" t="inlineStr">
        <is>
          <t>PDF SAI PRONTO PARA GERACAO</t>
        </is>
      </c>
      <c r="E5" s="7" t="inlineStr">
        <is>
          <t>SE FALTAR UM CAMPO O CONTRATO QUEBRA</t>
        </is>
      </c>
    </row>
    <row r="6">
      <c r="A6" s="7" t="inlineStr">
        <is>
          <t>PLACEHOLDERS FISCAIS</t>
        </is>
      </c>
      <c r="B6" s="7" t="inlineStr">
        <is>
          <t>A NF DEVE RECEBER O MESMO PROCEDIMENTO APROVADO NO MOTOR</t>
        </is>
      </c>
      <c r="C6" s="7" t="inlineStr">
        <is>
          <t>TRAVAR ENVIO SEM CODIGO DE SERVICO E VALOR</t>
        </is>
      </c>
      <c r="D6" s="7" t="inlineStr">
        <is>
          <t>REDUZ ERRO NO BACKEND DE NF</t>
        </is>
      </c>
      <c r="E6" s="7" t="inlineStr">
        <is>
          <t>NF PODE SAIR ERRADA OU SER REJEITADA</t>
        </is>
      </c>
    </row>
    <row r="7">
      <c r="A7" s="7" t="inlineStr">
        <is>
          <t>DETECCAO DE CONTRADICAO</t>
        </is>
      </c>
      <c r="B7" s="7" t="inlineStr">
        <is>
          <t>A IA DEVE APONTAR RESPOSTAS INCOMPATIVEIS</t>
        </is>
      </c>
      <c r="C7" s="7" t="inlineStr">
        <is>
          <t>BLOQUEAR E ENVIAR PARA VALIDACAO HUMANA</t>
        </is>
      </c>
      <c r="D7" s="7" t="inlineStr">
        <is>
          <t>SEGURANCA CLINICA E JURIDICA</t>
        </is>
      </c>
      <c r="E7" s="7" t="inlineStr">
        <is>
          <t>SEM ISSO O MOTOR PODE OFERTAR ALGO INDEVIDO</t>
        </is>
      </c>
    </row>
    <row r="8">
      <c r="A8" s="7" t="inlineStr">
        <is>
          <t>DADOS OBRIGATORIOS</t>
        </is>
      </c>
      <c r="B8" s="7" t="inlineStr">
        <is>
          <t>CPF NOME PROCEDIMENTO E EMPRESA DEVEM EXISTIR</t>
        </is>
      </c>
      <c r="C8" s="7" t="inlineStr">
        <is>
          <t>CRIAR BLOQUEIO DURO PARA PDF E NF</t>
        </is>
      </c>
      <c r="D8" s="7" t="inlineStr">
        <is>
          <t>SEM BASE MINIMA NAO HA SAIDA SEGURA</t>
        </is>
      </c>
      <c r="E8" s="7" t="inlineStr">
        <is>
          <t>RISCO JURIDICO E FISCAL</t>
        </is>
      </c>
    </row>
    <row r="9">
      <c r="A9" s="7" t="inlineStr">
        <is>
          <t>ORIGEM UNICA DO DADO</t>
        </is>
      </c>
      <c r="B9" s="7" t="inlineStr">
        <is>
          <t>PACIENTE EMPRESA PROFISSIONAL E PROCEDIMENTO DEVEM TER FONTE OFICIAL</t>
        </is>
      </c>
      <c r="C9" s="7" t="inlineStr">
        <is>
          <t>EVITAR DIGITACAO DUPLA</t>
        </is>
      </c>
      <c r="D9" s="7" t="inlineStr">
        <is>
          <t>DIMINUI ERRO HUMANO</t>
        </is>
      </c>
      <c r="E9" s="7" t="inlineStr">
        <is>
          <t>DADOS DUPLOS SAEM DIFERENTES</t>
        </is>
      </c>
    </row>
    <row r="10">
      <c r="A10" s="7" t="inlineStr">
        <is>
          <t>MULTIEMPRESA</t>
        </is>
      </c>
      <c r="B10" s="7" t="inlineStr">
        <is>
          <t>CADA EMPRESA DEVE GERAR SEUS PROPRIOS DADOS E DOCUMENTOS</t>
        </is>
      </c>
      <c r="C10" s="7" t="inlineStr">
        <is>
          <t>PUXAR RODAPE EMISSOR E TITULOS DA BASE DA EMPRESA</t>
        </is>
      </c>
      <c r="D10" s="7" t="inlineStr">
        <is>
          <t>MANTEM ISOLAMENTO ENTRE TENANTS</t>
        </is>
      </c>
      <c r="E10" s="7" t="inlineStr">
        <is>
          <t>MISTURAR EMPRESAS QUEBRA CONTRATO E NF</t>
        </is>
      </c>
    </row>
    <row r="11">
      <c r="A11" s="7" t="inlineStr">
        <is>
          <t>PERFIS DE LIBERACAO</t>
        </is>
      </c>
      <c r="B11" s="7" t="inlineStr">
        <is>
          <t>NEM TODO MUNDO PODE GERAR DOCUMENTO FINAL</t>
        </is>
      </c>
      <c r="C11" s="7" t="inlineStr">
        <is>
          <t>DEIXAR APROVACAO FINAL COM PERFIS CLINICOS/FISCAIS DEFINIDOS</t>
        </is>
      </c>
      <c r="D11" s="7" t="inlineStr">
        <is>
          <t>GOVERNANCA</t>
        </is>
      </c>
      <c r="E11" s="7" t="inlineStr">
        <is>
          <t>SEM TRAVA QUALQUER PERFIL DISPARA SAIDA</t>
        </is>
      </c>
    </row>
    <row r="12">
      <c r="A12" s="7" t="inlineStr">
        <is>
          <t>LOG DOCUMENTAL</t>
        </is>
      </c>
      <c r="B12" s="7" t="inlineStr">
        <is>
          <t>CADA PDF E CADA PAYLOAD NF DEVEM APONTAR PARA A VERSAO QUE GEROU</t>
        </is>
      </c>
      <c r="C12" s="7" t="inlineStr">
        <is>
          <t>GRAVAR ID DA VERSAO E TIMESTAMP</t>
        </is>
      </c>
      <c r="D12" s="7" t="inlineStr">
        <is>
          <t>PROVA DE ORIGEM</t>
        </is>
      </c>
      <c r="E12" s="7" t="inlineStr">
        <is>
          <t>SEM LOG FICA IMPOSSIVEL AUDITAR</t>
        </is>
      </c>
    </row>
    <row r="13">
      <c r="A13" s="7" t="inlineStr">
        <is>
          <t>TESTES SEMANTICOS</t>
        </is>
      </c>
      <c r="B13" s="7" t="inlineStr">
        <is>
          <t>ANTES DE SUBIR PARA O SISTEMA TESTAR CASOS REAIS E CASOS DE ERRO</t>
        </is>
      </c>
      <c r="C13" s="7" t="inlineStr">
        <is>
          <t>USAR A ABA TESTES_SEMANTICOS_APPEND</t>
        </is>
      </c>
      <c r="D13" s="7" t="inlineStr">
        <is>
          <t>VALIDA O MOTOR ANTES DO DEPLOY</t>
        </is>
      </c>
      <c r="E13" s="7" t="inlineStr">
        <is>
          <t>SEM TESTE O ERRO VAI PARA PRODUCAO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6" t="inlineStr">
        <is>
          <t>TESTE ID</t>
        </is>
      </c>
      <c r="B1" s="6" t="inlineStr">
        <is>
          <t>ENTRADA / ACAO</t>
        </is>
      </c>
      <c r="C1" s="6" t="inlineStr">
        <is>
          <t>ESPERADO NO MOTOR</t>
        </is>
      </c>
      <c r="D1" s="6" t="inlineStr">
        <is>
          <t>PLACEHOLDER CONTRATO</t>
        </is>
      </c>
      <c r="E1" s="6" t="inlineStr">
        <is>
          <t>PLACEHOLDER NF</t>
        </is>
      </c>
      <c r="F1" s="6" t="inlineStr">
        <is>
          <t>VALIDACAO HUMANA</t>
        </is>
      </c>
      <c r="G1" s="6" t="inlineStr">
        <is>
          <t>STATUS</t>
        </is>
      </c>
      <c r="H1" s="6" t="inlineStr">
        <is>
          <t>OBS</t>
        </is>
      </c>
    </row>
    <row r="2">
      <c r="A2" s="7" t="inlineStr">
        <is>
          <t>TS001</t>
        </is>
      </c>
      <c r="B2" s="7" t="inlineStr">
        <is>
          <t>QUEIXA = TIREOIDE + SINTOMAS COMPATIVEIS</t>
        </is>
      </c>
      <c r="C2" s="7" t="inlineStr">
        <is>
          <t>MOTOR SUGERE BLOCO TIREOIDE / EXAMES CORRELATOS</t>
        </is>
      </c>
      <c r="D2" s="7" t="inlineStr">
        <is>
          <t>PROCEDIMENTO E DESCRICAO CONTRATUAL ATUALIZADOS</t>
        </is>
      </c>
      <c r="E2" s="7" t="inlineStr">
        <is>
          <t>SERVICO REFLETE ITEM APROVADO</t>
        </is>
      </c>
      <c r="F2" s="7" t="inlineStr">
        <is>
          <t>MEDICO ASSISTENTE</t>
        </is>
      </c>
      <c r="G2" s="7" t="inlineStr">
        <is>
          <t>PLANEJADO</t>
        </is>
      </c>
      <c r="H2" s="7" t="inlineStr">
        <is>
          <t>TESTE BASE DE MATCH SEMANTICO</t>
        </is>
      </c>
    </row>
    <row r="3">
      <c r="A3" s="7" t="inlineStr">
        <is>
          <t>TS002</t>
        </is>
      </c>
      <c r="B3" s="7" t="inlineStr">
        <is>
          <t>ACEITA FORMULA = NAO</t>
        </is>
      </c>
      <c r="C3" s="7" t="inlineStr">
        <is>
          <t>MOTOR REMOVE FORMULAS DA SAIDA</t>
        </is>
      </c>
      <c r="D3" s="7" t="inlineStr">
        <is>
          <t>CONTRATO SEM CLAUSULA DE FORMULA</t>
        </is>
      </c>
      <c r="E3" s="7" t="inlineStr">
        <is>
          <t>NF SEM ITEM DE FORMULA</t>
        </is>
      </c>
      <c r="F3" s="7" t="inlineStr">
        <is>
          <t>VALIDADOR 1</t>
        </is>
      </c>
      <c r="G3" s="7" t="inlineStr">
        <is>
          <t>PLANEJADO</t>
        </is>
      </c>
      <c r="H3" s="7" t="inlineStr">
        <is>
          <t>NAO OFERTAR O QUE PACIENTE NEGOU</t>
        </is>
      </c>
    </row>
    <row r="4">
      <c r="A4" s="7" t="inlineStr">
        <is>
          <t>TS003</t>
        </is>
      </c>
      <c r="B4" s="7" t="inlineStr">
        <is>
          <t>EMPRESA TROCA DE EMP001 PARA EMP002</t>
        </is>
      </c>
      <c r="C4" s="7" t="inlineStr">
        <is>
          <t>MOTOR RECARREGA DADOS DA UNIDADE</t>
        </is>
      </c>
      <c r="D4" s="7" t="inlineStr">
        <is>
          <t>RODAPE E TITULO DO DOCUMENTO TROCAM</t>
        </is>
      </c>
      <c r="E4" s="7" t="inlineStr">
        <is>
          <t>EMISSOR / MUNICIPIO TROCAM</t>
        </is>
      </c>
      <c r="F4" s="7" t="inlineStr">
        <is>
          <t>SECRETARIA</t>
        </is>
      </c>
      <c r="G4" s="7" t="inlineStr">
        <is>
          <t>PLANEJADO</t>
        </is>
      </c>
      <c r="H4" s="7" t="inlineStr">
        <is>
          <t>TESTE MULTIEMPRESA</t>
        </is>
      </c>
    </row>
    <row r="5">
      <c r="A5" s="7" t="inlineStr">
        <is>
          <t>TS004</t>
        </is>
      </c>
      <c r="B5" s="7" t="inlineStr">
        <is>
          <t>PROFISSIONAL TROCA DE PROF001 PARA PROF002</t>
        </is>
      </c>
      <c r="C5" s="7" t="inlineStr">
        <is>
          <t>MOTOR RECARREGA RESPONSAVEL TECNICO</t>
        </is>
      </c>
      <c r="D5" s="7" t="inlineStr">
        <is>
          <t>ASSINATURA TEXTO TROCA</t>
        </is>
      </c>
      <c r="E5" s="7" t="inlineStr">
        <is>
          <t>RESPONSAVEL TECNICO NO PAYLOAD TROCA</t>
        </is>
      </c>
      <c r="F5" s="7" t="inlineStr">
        <is>
          <t>MEDICO +4</t>
        </is>
      </c>
      <c r="G5" s="7" t="inlineStr">
        <is>
          <t>PLANEJADO</t>
        </is>
      </c>
      <c r="H5" s="7" t="inlineStr">
        <is>
          <t>TESTE MULTIPROFISSIONAL</t>
        </is>
      </c>
    </row>
    <row r="6">
      <c r="A6" s="9" t="inlineStr">
        <is>
          <t>TS005</t>
        </is>
      </c>
      <c r="B6" s="9" t="inlineStr">
        <is>
          <t>CPF DO PACIENTE VAZIO</t>
        </is>
      </c>
      <c r="C6" s="9" t="inlineStr">
        <is>
          <t>BLOQUEAR SAIDAS</t>
        </is>
      </c>
      <c r="D6" s="9" t="inlineStr">
        <is>
          <t>PDF BLOQUEADO</t>
        </is>
      </c>
      <c r="E6" s="9" t="inlineStr">
        <is>
          <t>PAYLOAD NF BLOQUEADO</t>
        </is>
      </c>
      <c r="F6" s="9" t="inlineStr">
        <is>
          <t>SECRETARIA</t>
        </is>
      </c>
      <c r="G6" s="9" t="inlineStr">
        <is>
          <t>PLANEJADO</t>
        </is>
      </c>
      <c r="H6" s="9" t="inlineStr">
        <is>
          <t>DADO OBRIGATORIO AUSENTE</t>
        </is>
      </c>
    </row>
    <row r="7">
      <c r="A7" s="9" t="inlineStr">
        <is>
          <t>TS006</t>
        </is>
      </c>
      <c r="B7" s="9" t="inlineStr">
        <is>
          <t>PROCEDIMENTO SEM VALOR</t>
        </is>
      </c>
      <c r="C7" s="9" t="inlineStr">
        <is>
          <t>BLOQUEAR CAMADA FISCAL</t>
        </is>
      </c>
      <c r="D7" s="9" t="inlineStr">
        <is>
          <t>CONTRATO PODE IR PARA REVISAO SEM ASSINATURA FINAL</t>
        </is>
      </c>
      <c r="E7" s="9" t="inlineStr">
        <is>
          <t>NF BLOQUEADA</t>
        </is>
      </c>
      <c r="F7" s="9" t="inlineStr">
        <is>
          <t>FINANCEIRO</t>
        </is>
      </c>
      <c r="G7" s="9" t="inlineStr">
        <is>
          <t>PLANEJADO</t>
        </is>
      </c>
      <c r="H7" s="9" t="inlineStr">
        <is>
          <t>VALOR E CODIGO DEVEM EXISTIR</t>
        </is>
      </c>
    </row>
    <row r="8">
      <c r="A8" s="7" t="inlineStr">
        <is>
          <t>TS007</t>
        </is>
      </c>
      <c r="B8" s="7" t="inlineStr">
        <is>
          <t>EDICAO POS RESPOSTA ALTERA RISCO DE 2 PARA 5</t>
        </is>
      </c>
      <c r="C8" s="7" t="inlineStr">
        <is>
          <t>MOTOR REPROCESSA REGRAS E VALIDACOES</t>
        </is>
      </c>
      <c r="D8" s="7" t="inlineStr">
        <is>
          <t>VERSAO NOVA DO PDF APONTA RISCO ALTO</t>
        </is>
      </c>
      <c r="E8" s="7" t="inlineStr">
        <is>
          <t>NF FICA AGUARDANDO VALIDACAO</t>
        </is>
      </c>
      <c r="F8" s="7" t="inlineStr">
        <is>
          <t>VALIDADOR 2</t>
        </is>
      </c>
      <c r="G8" s="7" t="inlineStr">
        <is>
          <t>PLANEJADO</t>
        </is>
      </c>
      <c r="H8" s="7" t="inlineStr">
        <is>
          <t>TESTE DE REPROCESSAMENTO</t>
        </is>
      </c>
    </row>
    <row r="9">
      <c r="A9" s="9" t="inlineStr">
        <is>
          <t>TS008</t>
        </is>
      </c>
      <c r="B9" s="9" t="inlineStr">
        <is>
          <t>GRAVIDEZ = SIM E SEXO = M</t>
        </is>
      </c>
      <c r="C9" s="9" t="inlineStr">
        <is>
          <t>GERAR ALERTA SEMANTICO</t>
        </is>
      </c>
      <c r="D9" s="9" t="inlineStr">
        <is>
          <t>PDF BLOQUEADO</t>
        </is>
      </c>
      <c r="E9" s="9" t="inlineStr">
        <is>
          <t>NF BLOQUEADA ATE RESOLUCAO</t>
        </is>
      </c>
      <c r="F9" s="9" t="inlineStr">
        <is>
          <t>VALIDADOR 3</t>
        </is>
      </c>
      <c r="G9" s="9" t="inlineStr">
        <is>
          <t>PLANEJADO</t>
        </is>
      </c>
      <c r="H9" s="9" t="inlineStr">
        <is>
          <t>CONTRADICAO CRITICA</t>
        </is>
      </c>
    </row>
    <row r="10">
      <c r="A10" s="7" t="inlineStr">
        <is>
          <t>TS009</t>
        </is>
      </c>
      <c r="B10" s="7" t="inlineStr">
        <is>
          <t>ALTERAR PROCEDIMENTO APOS GERAR PDF</t>
        </is>
      </c>
      <c r="C10" s="7" t="inlineStr">
        <is>
          <t>MOTOR MARCA DOCUMENTO ANTERIOR COMO OBSOLETO</t>
        </is>
      </c>
      <c r="D10" s="7" t="inlineStr">
        <is>
          <t>NOVO PDF RECEBE NOVA VERSAO</t>
        </is>
      </c>
      <c r="E10" s="7" t="inlineStr">
        <is>
          <t>NOVO PAYLOAD RECEBE NOVA VERSAO</t>
        </is>
      </c>
      <c r="F10" s="7" t="inlineStr">
        <is>
          <t>MEDICO</t>
        </is>
      </c>
      <c r="G10" s="7" t="inlineStr">
        <is>
          <t>PLANEJADO</t>
        </is>
      </c>
      <c r="H10" s="7" t="inlineStr">
        <is>
          <t>NAO REUTILIZAR SAIDA ANTIGA</t>
        </is>
      </c>
    </row>
    <row r="11">
      <c r="A11" s="7" t="inlineStr">
        <is>
          <t>TS010</t>
        </is>
      </c>
      <c r="B11" s="7" t="inlineStr">
        <is>
          <t>TENANT A E TENANT B COM MESMO NOME DE PACIENTE</t>
        </is>
      </c>
      <c r="C11" s="7" t="inlineStr">
        <is>
          <t>ISOLAMENTO TOTAL DOS DADOS</t>
        </is>
      </c>
      <c r="D11" s="7" t="inlineStr">
        <is>
          <t>CONTRATO PUXA EMPRESA CORRETA</t>
        </is>
      </c>
      <c r="E11" s="7" t="inlineStr">
        <is>
          <t>NF PUXA EMISSOR CORRETO</t>
        </is>
      </c>
      <c r="F11" s="7" t="inlineStr">
        <is>
          <t>ADMIN MASTER</t>
        </is>
      </c>
      <c r="G11" s="7" t="inlineStr">
        <is>
          <t>PLANEJADO</t>
        </is>
      </c>
      <c r="H11" s="7" t="inlineStr">
        <is>
          <t>SEM VAZAMENTO ENTRE EMPRESAS</t>
        </is>
      </c>
    </row>
    <row r="12">
      <c r="A12" s="7" t="inlineStr">
        <is>
          <t>TS011</t>
        </is>
      </c>
      <c r="B12" s="7" t="inlineStr">
        <is>
          <t>USUARIO SEM PERMISSAO TENTA LIBERAR NF</t>
        </is>
      </c>
      <c r="C12" s="7" t="inlineStr">
        <is>
          <t>NEGAR ACAO E LOGAR TENTATIVA</t>
        </is>
      </c>
      <c r="D12" s="7" t="inlineStr">
        <is>
          <t>SEM PDF NOVO</t>
        </is>
      </c>
      <c r="E12" s="7" t="inlineStr">
        <is>
          <t>SEM PAYLOAD</t>
        </is>
      </c>
      <c r="F12" s="7" t="inlineStr">
        <is>
          <t>FINANCEIRO</t>
        </is>
      </c>
      <c r="G12" s="7" t="inlineStr">
        <is>
          <t>PLANEJADO</t>
        </is>
      </c>
      <c r="H12" s="7" t="inlineStr">
        <is>
          <t>TESTE DE ACL</t>
        </is>
      </c>
    </row>
    <row r="13">
      <c r="A13" s="7" t="inlineStr">
        <is>
          <t>TS012</t>
        </is>
      </c>
      <c r="B13" s="7" t="inlineStr">
        <is>
          <t>BACKEND RETORNA ERRO DE NF</t>
        </is>
      </c>
      <c r="C13" s="7" t="inlineStr">
        <is>
          <t>MOTOR MARCA STATUS FISCAL COMO PENDENTE</t>
        </is>
      </c>
      <c r="D13" s="7" t="inlineStr">
        <is>
          <t>CONTRATO MANTEM STATUS VALIDADO</t>
        </is>
      </c>
      <c r="E13" s="7" t="inlineStr">
        <is>
          <t>NF FICA PENDENTE DE REENVIO</t>
        </is>
      </c>
      <c r="F13" s="7" t="inlineStr">
        <is>
          <t>SECRETARIA / FINANCEIRO</t>
        </is>
      </c>
      <c r="G13" s="7" t="inlineStr">
        <is>
          <t>PLANEJADO</t>
        </is>
      </c>
      <c r="H13" s="7" t="inlineStr">
        <is>
          <t>TESTE DE RESILIENCIA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16" customWidth="1" min="3" max="3"/>
    <col width="42" customWidth="1" min="4" max="4"/>
    <col width="26" customWidth="1" min="5" max="5"/>
    <col width="34" customWidth="1" min="6" max="6"/>
    <col width="24" customWidth="1" min="7" max="7"/>
    <col width="22" customWidth="1" min="8" max="8"/>
    <col width="28" customWidth="1" min="9" max="9"/>
  </cols>
  <sheetData>
    <row r="1">
      <c r="A1" s="10" t="inlineStr">
        <is>
          <t>BLOCO</t>
        </is>
      </c>
      <c r="B1" s="10" t="inlineStr">
        <is>
          <t>CAMPO/REGRA</t>
        </is>
      </c>
      <c r="C1" s="10" t="inlineStr">
        <is>
          <t>TIPO</t>
        </is>
      </c>
      <c r="D1" s="10" t="inlineStr">
        <is>
          <t>DESCRICAO TECNICA</t>
        </is>
      </c>
      <c r="E1" s="10" t="inlineStr">
        <is>
          <t>ENTRADA</t>
        </is>
      </c>
      <c r="F1" s="10" t="inlineStr">
        <is>
          <t>PROCESSAMENTO</t>
        </is>
      </c>
      <c r="G1" s="10" t="inlineStr">
        <is>
          <t>SAIDA</t>
        </is>
      </c>
      <c r="H1" s="10" t="inlineStr">
        <is>
          <t>TRAVA</t>
        </is>
      </c>
      <c r="I1" s="10" t="inlineStr">
        <is>
          <t>OBSERVACAO</t>
        </is>
      </c>
    </row>
    <row r="2">
      <c r="A2" s="7" t="inlineStr">
        <is>
          <t>ARQUITETURA FISCAL</t>
        </is>
      </c>
      <c r="B2" s="7" t="inlineStr">
        <is>
          <t>objetivo_fiscal</t>
        </is>
      </c>
      <c r="C2" s="7" t="inlineStr">
        <is>
          <t>texto</t>
        </is>
      </c>
      <c r="D2" s="7" t="inlineStr">
        <is>
          <t>Camada fiscal complementar do Motor Clinico sem apagar a base existente.</t>
        </is>
      </c>
      <c r="E2" s="7" t="inlineStr">
        <is>
          <t>questionario editado + dados do atendimento + status do gateway</t>
        </is>
      </c>
      <c r="F2" s="7" t="inlineStr">
        <is>
          <t>normalizacao semantica + classificacao por categoria/subcategoria + montagem textual controlada</t>
        </is>
      </c>
      <c r="G2" s="7" t="inlineStr">
        <is>
          <t>texto_nf_resumo / texto_nf_detalhado / texto_nf_final</t>
        </is>
      </c>
      <c r="H2" s="7" t="inlineStr">
        <is>
          <t>sem dados minimos nao emite</t>
        </is>
      </c>
      <c r="I2" s="7" t="inlineStr">
        <is>
          <t>crescimento da V14.2 para V14.3</t>
        </is>
      </c>
    </row>
    <row r="3">
      <c r="A3" s="7" t="inlineStr">
        <is>
          <t>PAGAMENTO</t>
        </is>
      </c>
      <c r="B3" s="7" t="inlineStr">
        <is>
          <t>gateway_pagamento</t>
        </is>
      </c>
      <c r="C3" s="7" t="inlineStr">
        <is>
          <t>lista</t>
        </is>
      </c>
      <c r="D3" s="7" t="inlineStr">
        <is>
          <t>Origem do pagamento: ASAAS, MERCADO PAGO, PIX MANUAL, CARTAO MANUAL.</t>
        </is>
      </c>
      <c r="E3" s="7" t="inlineStr">
        <is>
          <t>checkout / registro financeiro</t>
        </is>
      </c>
      <c r="F3" s="7" t="inlineStr">
        <is>
          <t>normalizar status de origem para status interno padrao</t>
        </is>
      </c>
      <c r="G3" s="7" t="inlineStr">
        <is>
          <t>status_normalizado</t>
        </is>
      </c>
      <c r="H3" s="7" t="inlineStr">
        <is>
          <t>status nao aprovado bloqueia nf</t>
        </is>
      </c>
      <c r="I3" s="7" t="inlineStr">
        <is>
          <t>campo visivel para integracao com backend</t>
        </is>
      </c>
    </row>
    <row r="4">
      <c r="A4" s="7" t="inlineStr">
        <is>
          <t>PAGAMENTO</t>
        </is>
      </c>
      <c r="B4" s="7" t="inlineStr">
        <is>
          <t>id_transacao_gateway</t>
        </is>
      </c>
      <c r="C4" s="7" t="inlineStr">
        <is>
          <t>texto</t>
        </is>
      </c>
      <c r="D4" s="7" t="inlineStr">
        <is>
          <t>Identificador unico da transacao do gateway.</t>
        </is>
      </c>
      <c r="E4" s="7" t="inlineStr">
        <is>
          <t>webhook / retorno API</t>
        </is>
      </c>
      <c r="F4" s="7" t="inlineStr">
        <is>
          <t>vinculo com recibo, nota e trilha de auditoria</t>
        </is>
      </c>
      <c r="G4" s="7" t="inlineStr">
        <is>
          <t>id rastreavel</t>
        </is>
      </c>
      <c r="H4" s="7" t="inlineStr">
        <is>
          <t>sem id em manual exige revisao</t>
        </is>
      </c>
      <c r="I4" s="7" t="inlineStr">
        <is>
          <t>permite conciliacao</t>
        </is>
      </c>
    </row>
    <row r="5">
      <c r="A5" s="7" t="inlineStr">
        <is>
          <t>PAGAMENTO</t>
        </is>
      </c>
      <c r="B5" s="7" t="inlineStr">
        <is>
          <t>status_pagamento</t>
        </is>
      </c>
      <c r="C5" s="7" t="inlineStr">
        <is>
          <t>texto</t>
        </is>
      </c>
      <c r="D5" s="7" t="inlineStr">
        <is>
          <t>Status bruto recebido do gateway.</t>
        </is>
      </c>
      <c r="E5" s="7" t="inlineStr">
        <is>
          <t>gateway</t>
        </is>
      </c>
      <c r="F5" s="7" t="inlineStr">
        <is>
          <t>mapeamento para APROVADO / PENDENTE / REJEITADO / EM_ANALISE</t>
        </is>
      </c>
      <c r="G5" s="7" t="inlineStr">
        <is>
          <t>status_normalizado</t>
        </is>
      </c>
      <c r="H5" s="7" t="inlineStr">
        <is>
          <t>pendente rejeitado bloqueia</t>
        </is>
      </c>
      <c r="I5" s="7" t="inlineStr">
        <is>
          <t>usar tabela FISCAL GATEWAYS</t>
        </is>
      </c>
    </row>
    <row r="6">
      <c r="A6" s="7" t="inlineStr">
        <is>
          <t>FISCAL</t>
        </is>
      </c>
      <c r="B6" s="7" t="inlineStr">
        <is>
          <t>cpf_tomador</t>
        </is>
      </c>
      <c r="C6" s="7" t="inlineStr">
        <is>
          <t>texto</t>
        </is>
      </c>
      <c r="D6" s="7" t="inlineStr">
        <is>
          <t>CPF/CNPJ do tomador para emissao.</t>
        </is>
      </c>
      <c r="E6" s="7" t="inlineStr">
        <is>
          <t>cadastro / checkout</t>
        </is>
      </c>
      <c r="F6" s="7" t="inlineStr">
        <is>
          <t>validacao de obrigatoriedade</t>
        </is>
      </c>
      <c r="G6" s="7" t="inlineStr">
        <is>
          <t>apto_fiscal</t>
        </is>
      </c>
      <c r="H6" s="7" t="inlineStr">
        <is>
          <t>vazio bloqueia ou revisa</t>
        </is>
      </c>
      <c r="I6" s="7" t="inlineStr">
        <is>
          <t>regra pode variar por politica</t>
        </is>
      </c>
    </row>
    <row r="7">
      <c r="A7" s="7" t="inlineStr">
        <is>
          <t>FISCAL</t>
        </is>
      </c>
      <c r="B7" s="7" t="inlineStr">
        <is>
          <t>codigo_interno_procedimento</t>
        </is>
      </c>
      <c r="C7" s="7" t="inlineStr">
        <is>
          <t>texto</t>
        </is>
      </c>
      <c r="D7" s="7" t="inlineStr">
        <is>
          <t>Codigo interno do procedimento para ancoragem semantica.</t>
        </is>
      </c>
      <c r="E7" s="7" t="inlineStr">
        <is>
          <t>motor clinico</t>
        </is>
      </c>
      <c r="F7" s="7" t="inlineStr">
        <is>
          <t>lookup em FISCAL PROCEDIMENTOS</t>
        </is>
      </c>
      <c r="G7" s="7" t="inlineStr">
        <is>
          <t>texto_base_nf</t>
        </is>
      </c>
      <c r="H7" s="7" t="inlineStr">
        <is>
          <t>sem codigo bloqueia</t>
        </is>
      </c>
      <c r="I7" s="7" t="inlineStr">
        <is>
          <t>nao usar texto solto</t>
        </is>
      </c>
    </row>
    <row r="8">
      <c r="A8" s="7" t="inlineStr">
        <is>
          <t>FISCAL</t>
        </is>
      </c>
      <c r="B8" s="7" t="inlineStr">
        <is>
          <t>nome_curto_procedimento_nf</t>
        </is>
      </c>
      <c r="C8" s="7" t="inlineStr">
        <is>
          <t>texto</t>
        </is>
      </c>
      <c r="D8" s="7" t="inlineStr">
        <is>
          <t>Nome resumido seguro para nota.</t>
        </is>
      </c>
      <c r="E8" s="7" t="inlineStr">
        <is>
          <t>procedimento classificado</t>
        </is>
      </c>
      <c r="F8" s="7" t="inlineStr">
        <is>
          <t>compõe o template</t>
        </is>
      </c>
      <c r="G8" s="7" t="inlineStr">
        <is>
          <t>texto_nf_final</t>
        </is>
      </c>
      <c r="H8" s="7" t="inlineStr">
        <is>
          <t>vazio bloqueia</t>
        </is>
      </c>
      <c r="I8" s="7" t="inlineStr">
        <is>
          <t>evitar termos genericos</t>
        </is>
      </c>
    </row>
    <row r="9">
      <c r="A9" s="7" t="inlineStr">
        <is>
          <t>FISCAL</t>
        </is>
      </c>
      <c r="B9" s="7" t="inlineStr">
        <is>
          <t>quantidade_unidades</t>
        </is>
      </c>
      <c r="C9" s="7" t="inlineStr">
        <is>
          <t>numero</t>
        </is>
      </c>
      <c r="D9" s="7" t="inlineStr">
        <is>
          <t>Quantidade da unidade/sessao quando aplicavel.</t>
        </is>
      </c>
      <c r="E9" s="7" t="inlineStr">
        <is>
          <t>protocolo</t>
        </is>
      </c>
      <c r="F9" s="7" t="inlineStr">
        <is>
          <t>entra no texto detalhado</t>
        </is>
      </c>
      <c r="G9" s="7" t="inlineStr">
        <is>
          <t>texto_nf_detalhado</t>
        </is>
      </c>
      <c r="H9" s="7" t="inlineStr">
        <is>
          <t>se exigido e vazio revisa</t>
        </is>
      </c>
      <c r="I9" s="7" t="inlineStr">
        <is>
          <t>ex.: 1 unidade</t>
        </is>
      </c>
    </row>
    <row r="10">
      <c r="A10" s="7" t="inlineStr">
        <is>
          <t>FISCAL</t>
        </is>
      </c>
      <c r="B10" s="7" t="inlineStr">
        <is>
          <t>frequencia_planejada</t>
        </is>
      </c>
      <c r="C10" s="7" t="inlineStr">
        <is>
          <t>texto</t>
        </is>
      </c>
      <c r="D10" s="7" t="inlineStr">
        <is>
          <t>Frequencia resumida quando aplicavel.</t>
        </is>
      </c>
      <c r="E10" s="7" t="inlineStr">
        <is>
          <t>plano/protocolo</t>
        </is>
      </c>
      <c r="F10" s="7" t="inlineStr">
        <is>
          <t>entra no texto detalhado</t>
        </is>
      </c>
      <c r="G10" s="7" t="inlineStr">
        <is>
          <t>texto_nf_detalhado</t>
        </is>
      </c>
      <c r="H10" s="7" t="inlineStr">
        <is>
          <t>se exigido e vazio revisa</t>
        </is>
      </c>
      <c r="I10" s="7" t="inlineStr">
        <is>
          <t>ex.: semanal</t>
        </is>
      </c>
    </row>
    <row r="11">
      <c r="A11" s="7" t="inlineStr">
        <is>
          <t>FISCAL</t>
        </is>
      </c>
      <c r="B11" s="7" t="inlineStr">
        <is>
          <t>duracao_media</t>
        </is>
      </c>
      <c r="C11" s="7" t="inlineStr">
        <is>
          <t>texto</t>
        </is>
      </c>
      <c r="D11" s="7" t="inlineStr">
        <is>
          <t>Duracao media do procedimento/protocolo.</t>
        </is>
      </c>
      <c r="E11" s="7" t="inlineStr">
        <is>
          <t>plano/protocolo</t>
        </is>
      </c>
      <c r="F11" s="7" t="inlineStr">
        <is>
          <t>entra no texto detalhado</t>
        </is>
      </c>
      <c r="G11" s="7" t="inlineStr">
        <is>
          <t>texto_nf_detalhado</t>
        </is>
      </c>
      <c r="H11" s="7" t="inlineStr">
        <is>
          <t>se exigido e vazio revisa</t>
        </is>
      </c>
      <c r="I11" s="7" t="inlineStr">
        <is>
          <t>ex.: 60 minutos</t>
        </is>
      </c>
    </row>
    <row r="12">
      <c r="A12" s="11" t="inlineStr">
        <is>
          <t>TEXTO NF</t>
        </is>
      </c>
      <c r="B12" s="11" t="inlineStr">
        <is>
          <t>texto_nf_resumo</t>
        </is>
      </c>
      <c r="C12" s="11" t="inlineStr">
        <is>
          <t>formula/saida</t>
        </is>
      </c>
      <c r="D12" s="11" t="inlineStr">
        <is>
          <t>Texto fiscal resumido para emissor e cenarios simples.</t>
        </is>
      </c>
      <c r="E12" s="11" t="inlineStr">
        <is>
          <t>template + variaveis</t>
        </is>
      </c>
      <c r="F12" s="11" t="inlineStr">
        <is>
          <t>montagem concisa e segura</t>
        </is>
      </c>
      <c r="G12" s="11" t="inlineStr">
        <is>
          <t>texto resumido</t>
        </is>
      </c>
      <c r="H12" s="11" t="inlineStr">
        <is>
          <t>texto generico bloqueia</t>
        </is>
      </c>
      <c r="I12" s="11" t="inlineStr">
        <is>
          <t>ex.: consulta</t>
        </is>
      </c>
    </row>
    <row r="13">
      <c r="A13" s="11" t="inlineStr">
        <is>
          <t>TEXTO NF</t>
        </is>
      </c>
      <c r="B13" s="11" t="inlineStr">
        <is>
          <t>texto_nf_detalhado</t>
        </is>
      </c>
      <c r="C13" s="11" t="inlineStr">
        <is>
          <t>formula/saida</t>
        </is>
      </c>
      <c r="D13" s="11" t="inlineStr">
        <is>
          <t>Texto fiscal detalhado para protocolos/reembolso.</t>
        </is>
      </c>
      <c r="E13" s="11" t="inlineStr">
        <is>
          <t>template + variaveis</t>
        </is>
      </c>
      <c r="F13" s="11" t="inlineStr">
        <is>
          <t>montagem detalhada controlada</t>
        </is>
      </c>
      <c r="G13" s="11" t="inlineStr">
        <is>
          <t>texto detalhado</t>
        </is>
      </c>
      <c r="H13" s="11" t="inlineStr">
        <is>
          <t>texto sem campos minimos revisa</t>
        </is>
      </c>
      <c r="I13" s="11" t="inlineStr">
        <is>
          <t>ex.: soro antioxidante</t>
        </is>
      </c>
    </row>
    <row r="14">
      <c r="A14" s="11" t="inlineStr">
        <is>
          <t>TEXTO NF</t>
        </is>
      </c>
      <c r="B14" s="11" t="inlineStr">
        <is>
          <t>texto_nf_final</t>
        </is>
      </c>
      <c r="C14" s="11" t="inlineStr">
        <is>
          <t>formula/saida</t>
        </is>
      </c>
      <c r="D14" s="11" t="inlineStr">
        <is>
          <t>Texto final escolhido conforme modo_texto e contexto.</t>
        </is>
      </c>
      <c r="E14" s="11" t="inlineStr">
        <is>
          <t>resumo/detalhado + tags</t>
        </is>
      </c>
      <c r="F14" s="11" t="inlineStr">
        <is>
          <t>selecao automatica</t>
        </is>
      </c>
      <c r="G14" s="11" t="inlineStr">
        <is>
          <t>texto pronto para emissor</t>
        </is>
      </c>
      <c r="H14" s="11" t="inlineStr">
        <is>
          <t>detector semantico</t>
        </is>
      </c>
      <c r="I14" s="11" t="inlineStr">
        <is>
          <t>nao permitir 'servicos prestados'</t>
        </is>
      </c>
    </row>
    <row r="15">
      <c r="A15" s="12" t="inlineStr">
        <is>
          <t>TRAVA</t>
        </is>
      </c>
      <c r="B15" s="12" t="inlineStr">
        <is>
          <t>detector_texto_generico</t>
        </is>
      </c>
      <c r="C15" s="12" t="inlineStr">
        <is>
          <t>formula/logica</t>
        </is>
      </c>
      <c r="D15" s="12" t="inlineStr">
        <is>
          <t>Bloqueia expressoes vagas ou inadequadas.</t>
        </is>
      </c>
      <c r="E15" s="12" t="inlineStr">
        <is>
          <t>texto_nf_final</t>
        </is>
      </c>
      <c r="F15" s="12" t="inlineStr">
        <is>
          <t>procura termos proibidos</t>
        </is>
      </c>
      <c r="G15" s="12" t="inlineStr">
        <is>
          <t>OK / REVISAR</t>
        </is>
      </c>
      <c r="H15" s="12" t="inlineStr">
        <is>
          <t>REVISAR impede emissao automatica</t>
        </is>
      </c>
      <c r="I15" s="12" t="inlineStr">
        <is>
          <t>lista na aba de testes</t>
        </is>
      </c>
    </row>
    <row r="16">
      <c r="A16" s="12" t="inlineStr">
        <is>
          <t>TRAVA</t>
        </is>
      </c>
      <c r="B16" s="12" t="inlineStr">
        <is>
          <t>apto_fiscal</t>
        </is>
      </c>
      <c r="C16" s="12" t="inlineStr">
        <is>
          <t>formula/logica</t>
        </is>
      </c>
      <c r="D16" s="12" t="inlineStr">
        <is>
          <t>Combina pagamento + cpf + codigo + nome curto.</t>
        </is>
      </c>
      <c r="E16" s="12" t="inlineStr">
        <is>
          <t>status + dados minimos</t>
        </is>
      </c>
      <c r="F16" s="12" t="inlineStr">
        <is>
          <t>SE/E</t>
        </is>
      </c>
      <c r="G16" s="12" t="inlineStr">
        <is>
          <t>APTO / BLOQUEAR</t>
        </is>
      </c>
      <c r="H16" s="12" t="inlineStr">
        <is>
          <t>bloquear se faltou minimo</t>
        </is>
      </c>
      <c r="I16" s="12" t="inlineStr">
        <is>
          <t>formula visivel</t>
        </is>
      </c>
    </row>
    <row r="17">
      <c r="A17" s="11" t="inlineStr">
        <is>
          <t>CONTRATOS</t>
        </is>
      </c>
      <c r="B17" s="11" t="inlineStr">
        <is>
          <t>placeholders_contratuais</t>
        </is>
      </c>
      <c r="C17" s="11" t="inlineStr">
        <is>
          <t>estrutura</t>
        </is>
      </c>
      <c r="D17" s="11" t="inlineStr">
        <is>
          <t>Os dados editados do questionario tambem abastecem contratos e PDFs.</t>
        </is>
      </c>
      <c r="E17" s="11" t="inlineStr">
        <is>
          <t>questionario + cadastro</t>
        </is>
      </c>
      <c r="F17" s="11" t="inlineStr">
        <is>
          <t>substituicao por placeholders</t>
        </is>
      </c>
      <c r="G17" s="11" t="inlineStr">
        <is>
          <t>pdf/contrato coerente com nota</t>
        </is>
      </c>
      <c r="H17" s="11" t="inlineStr">
        <is>
          <t>divergencia exige revisao</t>
        </is>
      </c>
      <c r="I17" s="11" t="inlineStr">
        <is>
          <t>manter integridade documental</t>
        </is>
      </c>
    </row>
    <row r="18">
      <c r="A18" s="13" t="inlineStr">
        <is>
          <t>INTEGRACAO</t>
        </is>
      </c>
      <c r="B18" s="13" t="inlineStr">
        <is>
          <t>fluxo_emissao_nf</t>
        </is>
      </c>
      <c r="C18" s="13" t="inlineStr">
        <is>
          <t>pipeline</t>
        </is>
      </c>
      <c r="D18" s="13" t="inlineStr">
        <is>
          <t>Pagamento confirmado -&gt; validacao fiscal -&gt; classificacao semantica -&gt; montagem do texto -&gt; envio emissor.</t>
        </is>
      </c>
      <c r="E18" s="13" t="inlineStr">
        <is>
          <t>gateway + motor clinico</t>
        </is>
      </c>
      <c r="F18" s="13" t="inlineStr">
        <is>
          <t>pipeline de negocio</t>
        </is>
      </c>
      <c r="G18" s="13" t="inlineStr">
        <is>
          <t>nf emitida ou fila de revisao</t>
        </is>
      </c>
      <c r="H18" s="13" t="inlineStr">
        <is>
          <t>erros param a esteira</t>
        </is>
      </c>
      <c r="I18" s="13" t="inlineStr">
        <is>
          <t>sem apagar logica anterior</t>
        </is>
      </c>
    </row>
    <row r="19">
      <c r="A19" s="13" t="inlineStr">
        <is>
          <t>MULTIEMPRESA</t>
        </is>
      </c>
      <c r="B19" s="13" t="inlineStr">
        <is>
          <t>empresa_emitente</t>
        </is>
      </c>
      <c r="C19" s="13" t="inlineStr">
        <is>
          <t>texto</t>
        </is>
      </c>
      <c r="D19" s="13" t="inlineStr">
        <is>
          <t>Define o CNPJ/emitente da unidade/tenant.</t>
        </is>
      </c>
      <c r="E19" s="13" t="inlineStr">
        <is>
          <t>tenant ativo</t>
        </is>
      </c>
      <c r="F19" s="13" t="inlineStr">
        <is>
          <t>carrega emitente padrao</t>
        </is>
      </c>
      <c r="G19" s="13" t="inlineStr">
        <is>
          <t>dados de emissao</t>
        </is>
      </c>
      <c r="H19" s="13" t="inlineStr">
        <is>
          <t>sem emitente bloqueia</t>
        </is>
      </c>
      <c r="I19" s="13" t="inlineStr">
        <is>
          <t>base multiempresa</t>
        </is>
      </c>
    </row>
    <row r="20">
      <c r="A20" s="12" t="inlineStr">
        <is>
          <t>AUDITORIA</t>
        </is>
      </c>
      <c r="B20" s="12" t="inlineStr">
        <is>
          <t>exigir_revisao_humana</t>
        </is>
      </c>
      <c r="C20" s="12" t="inlineStr">
        <is>
          <t>flag</t>
        </is>
      </c>
      <c r="D20" s="12" t="inlineStr">
        <is>
          <t>Quando manual, ambiguo ou semantica sensivel, exige fila humana.</t>
        </is>
      </c>
      <c r="E20" s="12" t="inlineStr">
        <is>
          <t>regras + status</t>
        </is>
      </c>
      <c r="F20" s="12" t="inlineStr">
        <is>
          <t>roteamento</t>
        </is>
      </c>
      <c r="G20" s="12" t="inlineStr">
        <is>
          <t>fila de revisao</t>
        </is>
      </c>
      <c r="H20" s="12" t="inlineStr">
        <is>
          <t>nao emite automaticamente</t>
        </is>
      </c>
      <c r="I20" s="12" t="inlineStr">
        <is>
          <t>protege a operacao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42" customWidth="1" min="3" max="3"/>
    <col width="28" customWidth="1" min="4" max="4"/>
    <col width="38" customWidth="1" min="5" max="5"/>
  </cols>
  <sheetData>
    <row r="1">
      <c r="A1" s="10" t="inlineStr">
        <is>
          <t>BLOCO</t>
        </is>
      </c>
      <c r="B1" s="10" t="inlineStr">
        <is>
          <t>O QUE ISSO FAZ</t>
        </is>
      </c>
      <c r="C1" s="10" t="inlineStr">
        <is>
          <t>COMO FUNCIONA NA PRATICA</t>
        </is>
      </c>
      <c r="D1" s="10" t="inlineStr">
        <is>
          <t>QUANDO BLOQUEIA</t>
        </is>
      </c>
      <c r="E1" s="10" t="inlineStr">
        <is>
          <t>EXEMPLO</t>
        </is>
      </c>
    </row>
    <row r="2">
      <c r="A2" s="7" t="inlineStr">
        <is>
          <t>VISÃO GERAL</t>
        </is>
      </c>
      <c r="B2" s="7" t="inlineStr">
        <is>
          <t>Explica para o humano como a nota fiscal nasce dentro do Motor Clinico.</t>
        </is>
      </c>
      <c r="C2" s="7" t="inlineStr">
        <is>
          <t>Depois que o pagamento entra, o sistema valida dados minimos, identifica o tipo do procedimento e monta um texto fiscal seguro.</t>
        </is>
      </c>
      <c r="D2" s="7" t="inlineStr">
        <is>
          <t>Se nao houver pagamento valido, CPF, codigo interno ou texto aceitavel.</t>
        </is>
      </c>
      <c r="E2" s="7" t="inlineStr">
        <is>
          <t>Pagamento aprovado + procedimento classificado = pode seguir.</t>
        </is>
      </c>
    </row>
    <row r="3">
      <c r="A3" s="7" t="inlineStr">
        <is>
          <t>PAGAMENTO</t>
        </is>
      </c>
      <c r="B3" s="7" t="inlineStr">
        <is>
          <t>A nota so anda quando o gateway confirmar o pagamento.</t>
        </is>
      </c>
      <c r="C3" s="7" t="inlineStr">
        <is>
          <t>ASAAS e Mercado Pago mandam um status. O sistema traduz esse status para um padrao interno.</t>
        </is>
      </c>
      <c r="D3" s="7" t="inlineStr">
        <is>
          <t>Quando o status estiver pendente, rejeitado, vencido ou em analise sem liberacao.</t>
        </is>
      </c>
      <c r="E3" s="7" t="inlineStr">
        <is>
          <t>ASAAS RECEIVED = APROVADO.</t>
        </is>
      </c>
    </row>
    <row r="4">
      <c r="A4" s="7" t="inlineStr">
        <is>
          <t>PROCEDIMENTO</t>
        </is>
      </c>
      <c r="B4" s="7" t="inlineStr">
        <is>
          <t>Cada procedimento precisa de codigo interno e descricao padrao.</t>
        </is>
      </c>
      <c r="C4" s="7" t="inlineStr">
        <is>
          <t>O codigo interno puxa a categoria, subcategoria e o modelo de texto de NF.</t>
        </is>
      </c>
      <c r="D4" s="7" t="inlineStr">
        <is>
          <t>Se o procedimento estiver sem codigo ou sem descricao segura.</t>
        </is>
      </c>
      <c r="E4" s="7" t="inlineStr">
        <is>
          <t>MC_INF_001 = soro antioxidante endovenoso.</t>
        </is>
      </c>
    </row>
    <row r="5">
      <c r="A5" s="7" t="inlineStr">
        <is>
          <t>TEXTO DA NF</t>
        </is>
      </c>
      <c r="B5" s="7" t="inlineStr">
        <is>
          <t>A nota nao deve sair com texto generico.</t>
        </is>
      </c>
      <c r="C5" s="7" t="inlineStr">
        <is>
          <t>O sistema usa frases do tipo 'Honorarios medicos referentes a...' e completa com a logica do procedimento.</t>
        </is>
      </c>
      <c r="D5" s="7" t="inlineStr">
        <is>
          <t>Se detectar termos vagos como 'servicos prestados' ou 'atendimento medico'.</t>
        </is>
      </c>
      <c r="E5" s="7" t="inlineStr">
        <is>
          <t>Honorarios medicos referentes a consulta medica integrativa.</t>
        </is>
      </c>
    </row>
    <row r="6">
      <c r="A6" s="7" t="inlineStr">
        <is>
          <t>EXAMES</t>
        </is>
      </c>
      <c r="B6" s="7" t="inlineStr">
        <is>
          <t>Quando for exame, o texto deve dizer do que se trata.</t>
        </is>
      </c>
      <c r="C6" s="7" t="inlineStr">
        <is>
          <t>Pode falar em emissao de guias, solicitacao ou interpretacao clinica de exames.</t>
        </is>
      </c>
      <c r="D6" s="7" t="inlineStr">
        <is>
          <t>Se a classificacao estiver ambigua.</t>
        </is>
      </c>
      <c r="E6" s="7" t="inlineStr">
        <is>
          <t>Honorarios medicos referentes a emissao de guias de exames e orientacao clinica correlata.</t>
        </is>
      </c>
    </row>
    <row r="7">
      <c r="A7" s="7" t="inlineStr">
        <is>
          <t>PROTOCOLOS</t>
        </is>
      </c>
      <c r="B7" s="7" t="inlineStr">
        <is>
          <t>Quando for protocolo endovenoso ou injetavel, a nota pode trazer estrutura basica.</t>
        </is>
      </c>
      <c r="C7" s="7" t="inlineStr">
        <is>
          <t>O texto pode incluir nomenclatura, quantidade, duracao e frequencia.</t>
        </is>
      </c>
      <c r="D7" s="7" t="inlineStr">
        <is>
          <t>Se faltarem campos basicos exigidos pelo modo detalhado.</t>
        </is>
      </c>
      <c r="E7" s="7" t="inlineStr">
        <is>
          <t>Honorarios medicos referentes a protocolo injetavel endovenoso tipo soro antioxidante, com 1 unidade, duracao media de 60 minutos, frequencia semanal.</t>
        </is>
      </c>
    </row>
    <row r="8">
      <c r="A8" s="7" t="inlineStr">
        <is>
          <t>REVISAO HUMANA</t>
        </is>
      </c>
      <c r="B8" s="7" t="inlineStr">
        <is>
          <t>Alguns casos nao devem emitir sozinhos.</t>
        </is>
      </c>
      <c r="C8" s="7" t="inlineStr">
        <is>
          <t>Pagamento manual, ambiguidades, ausencia de CPF ou conflito semantico vao para revisao.</t>
        </is>
      </c>
      <c r="D8" s="7" t="inlineStr">
        <is>
          <t>Sempre que a regra marcar revisao obrigatoria.</t>
        </is>
      </c>
      <c r="E8" s="7" t="inlineStr">
        <is>
          <t>PIX manual confirmado = revisar antes de emitir.</t>
        </is>
      </c>
    </row>
    <row r="9">
      <c r="A9" s="7" t="inlineStr">
        <is>
          <t>CONTRATOS E PDF</t>
        </is>
      </c>
      <c r="B9" s="7" t="inlineStr">
        <is>
          <t>A mesma base alimenta tambem contratos e PDFs.</t>
        </is>
      </c>
      <c r="C9" s="7" t="inlineStr">
        <is>
          <t>O que o questionario e a edicao produzirem deve bater com o texto dos contratos e da nota.</t>
        </is>
      </c>
      <c r="D9" s="7" t="inlineStr">
        <is>
          <t>Se houver divergencia entre documento, procedimento e fiscal.</t>
        </is>
      </c>
      <c r="E9" s="7" t="inlineStr">
        <is>
          <t>Evita um contrato dizendo uma coisa e a nota outra.</t>
        </is>
      </c>
    </row>
    <row r="10">
      <c r="A10" s="7" t="inlineStr">
        <is>
          <t>MULTIEMPRESA</t>
        </is>
      </c>
      <c r="B10" s="7" t="inlineStr">
        <is>
          <t>Cada empresa/unidade emite com seus proprios dados.</t>
        </is>
      </c>
      <c r="C10" s="7" t="inlineStr">
        <is>
          <t>O sistema escolhe o emitente da empresa ativa.</t>
        </is>
      </c>
      <c r="D10" s="7" t="inlineStr">
        <is>
          <t>Se faltarem os dados do emitente.</t>
        </is>
      </c>
      <c r="E10" s="7" t="inlineStr">
        <is>
          <t>CNPJ da unidade correta para aquela emissao.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8" customWidth="1" min="3" max="3"/>
    <col width="32" customWidth="1" min="4" max="4"/>
    <col width="24" customWidth="1" min="5" max="5"/>
    <col width="22" customWidth="1" min="6" max="6"/>
    <col width="24" customWidth="1" min="7" max="7"/>
    <col width="26" customWidth="1" min="8" max="8"/>
  </cols>
  <sheetData>
    <row r="1">
      <c r="A1" s="10" t="inlineStr">
        <is>
          <t>ORDEM</t>
        </is>
      </c>
      <c r="B1" s="10" t="inlineStr">
        <is>
          <t>ETAPA</t>
        </is>
      </c>
      <c r="C1" s="10" t="inlineStr">
        <is>
          <t>ENTRADA</t>
        </is>
      </c>
      <c r="D1" s="10" t="inlineStr">
        <is>
          <t>PROCESSAMENTO</t>
        </is>
      </c>
      <c r="E1" s="10" t="inlineStr">
        <is>
          <t>SAIDA</t>
        </is>
      </c>
      <c r="F1" s="10" t="inlineStr">
        <is>
          <t>TRAVA</t>
        </is>
      </c>
      <c r="G1" s="10" t="inlineStr">
        <is>
          <t>ACAO SE ERRO</t>
        </is>
      </c>
      <c r="H1" s="10" t="inlineStr">
        <is>
          <t>OBSERVACAO</t>
        </is>
      </c>
    </row>
    <row r="2">
      <c r="A2" s="7" t="n">
        <v>1</v>
      </c>
      <c r="B2" s="7" t="inlineStr">
        <is>
          <t>Pagamento confirmado</t>
        </is>
      </c>
      <c r="C2" s="7" t="inlineStr">
        <is>
          <t>gateway + status_pagamento + id_transacao</t>
        </is>
      </c>
      <c r="D2" s="7" t="inlineStr">
        <is>
          <t>normaliza status de origem</t>
        </is>
      </c>
      <c r="E2" s="7" t="inlineStr">
        <is>
          <t>status_normalizado</t>
        </is>
      </c>
      <c r="F2" s="7" t="inlineStr">
        <is>
          <t>status nao aprovado</t>
        </is>
      </c>
      <c r="G2" s="7" t="inlineStr">
        <is>
          <t>bloquear NF</t>
        </is>
      </c>
      <c r="H2" s="7" t="inlineStr">
        <is>
          <t>usar tabela FISCAL GATEWAYS</t>
        </is>
      </c>
    </row>
    <row r="3">
      <c r="A3" s="7" t="n">
        <v>2</v>
      </c>
      <c r="B3" s="7" t="inlineStr">
        <is>
          <t>Validacao fiscal minima</t>
        </is>
      </c>
      <c r="C3" s="7" t="inlineStr">
        <is>
          <t>cpf_tomador + nome_tomador + valor + empresa_emitente + codigo_interno_procedimento</t>
        </is>
      </c>
      <c r="D3" s="7" t="inlineStr">
        <is>
          <t>checa obrigatorios</t>
        </is>
      </c>
      <c r="E3" s="7" t="inlineStr">
        <is>
          <t>apto_fiscal</t>
        </is>
      </c>
      <c r="F3" s="7" t="inlineStr">
        <is>
          <t>campo minimo ausente</t>
        </is>
      </c>
      <c r="G3" s="7" t="inlineStr">
        <is>
          <t>bloquear ou enviar para revisao</t>
        </is>
      </c>
      <c r="H3" s="7" t="inlineStr">
        <is>
          <t>politica configuravel</t>
        </is>
      </c>
    </row>
    <row r="4">
      <c r="A4" s="7" t="n">
        <v>3</v>
      </c>
      <c r="B4" s="7" t="inlineStr">
        <is>
          <t>Classificacao semantica</t>
        </is>
      </c>
      <c r="C4" s="7" t="inlineStr">
        <is>
          <t>codigo_interno_procedimento</t>
        </is>
      </c>
      <c r="D4" s="7" t="inlineStr">
        <is>
          <t>procura categoria/subcategoria/template</t>
        </is>
      </c>
      <c r="E4" s="7" t="inlineStr">
        <is>
          <t>texto_base_nf</t>
        </is>
      </c>
      <c r="F4" s="7" t="inlineStr">
        <is>
          <t>codigo nao encontrado</t>
        </is>
      </c>
      <c r="G4" s="7" t="inlineStr">
        <is>
          <t>fila de revisao</t>
        </is>
      </c>
      <c r="H4" s="7" t="inlineStr">
        <is>
          <t>nao usar texto livre</t>
        </is>
      </c>
    </row>
    <row r="5">
      <c r="A5" s="7" t="n">
        <v>4</v>
      </c>
      <c r="B5" s="7" t="inlineStr">
        <is>
          <t>Montagem do texto</t>
        </is>
      </c>
      <c r="C5" s="7" t="inlineStr">
        <is>
          <t>template + nome + quantidade + duracao + frequencia</t>
        </is>
      </c>
      <c r="D5" s="7" t="inlineStr">
        <is>
          <t>gera resumo e detalhado</t>
        </is>
      </c>
      <c r="E5" s="7" t="inlineStr">
        <is>
          <t>texto_nf_resumo / texto_nf_detalhado</t>
        </is>
      </c>
      <c r="F5" s="7" t="inlineStr">
        <is>
          <t>texto vazio ou generico</t>
        </is>
      </c>
      <c r="G5" s="7" t="inlineStr">
        <is>
          <t>bloquear emissao</t>
        </is>
      </c>
      <c r="H5" s="7" t="inlineStr">
        <is>
          <t>usar detector semantico</t>
        </is>
      </c>
    </row>
    <row r="6">
      <c r="A6" s="7" t="n">
        <v>5</v>
      </c>
      <c r="B6" s="7" t="inlineStr">
        <is>
          <t>Escolha do texto final</t>
        </is>
      </c>
      <c r="C6" s="7" t="inlineStr">
        <is>
          <t>modo_texto + tag_reembolso + contexto</t>
        </is>
      </c>
      <c r="D6" s="7" t="inlineStr">
        <is>
          <t>seleciona o melhor texto</t>
        </is>
      </c>
      <c r="E6" s="7" t="inlineStr">
        <is>
          <t>texto_nf_final</t>
        </is>
      </c>
      <c r="F6" s="7" t="inlineStr">
        <is>
          <t>conflito de regra</t>
        </is>
      </c>
      <c r="G6" s="7" t="inlineStr">
        <is>
          <t>revisao humana</t>
        </is>
      </c>
      <c r="H6" s="7" t="inlineStr">
        <is>
          <t>resumo x detalhado</t>
        </is>
      </c>
    </row>
    <row r="7">
      <c r="A7" s="7" t="n">
        <v>6</v>
      </c>
      <c r="B7" s="7" t="inlineStr">
        <is>
          <t>Emissao fiscal</t>
        </is>
      </c>
      <c r="C7" s="7" t="inlineStr">
        <is>
          <t>texto_nf_final + dados tomador + valor</t>
        </is>
      </c>
      <c r="D7" s="7" t="inlineStr">
        <is>
          <t>envio para backend emissor</t>
        </is>
      </c>
      <c r="E7" s="7" t="inlineStr">
        <is>
          <t>numero da NF / retorno API</t>
        </is>
      </c>
      <c r="F7" s="7" t="inlineStr">
        <is>
          <t>erro na API emissora</t>
        </is>
      </c>
      <c r="G7" s="7" t="inlineStr">
        <is>
          <t>registrar falha e reenfileirar</t>
        </is>
      </c>
      <c r="H7" s="7" t="inlineStr">
        <is>
          <t>motor fiscal desacoplado</t>
        </is>
      </c>
    </row>
    <row r="8">
      <c r="A8" s="7" t="n">
        <v>7</v>
      </c>
      <c r="B8" s="7" t="inlineStr">
        <is>
          <t>Registro e auditoria</t>
        </is>
      </c>
      <c r="C8" s="7" t="inlineStr">
        <is>
          <t>numero NF + protocolo + usuario</t>
        </is>
      </c>
      <c r="D8" s="7" t="inlineStr">
        <is>
          <t>grava retorno no prontuario/financeiro</t>
        </is>
      </c>
      <c r="E8" s="7" t="inlineStr">
        <is>
          <t>historico fiscal</t>
        </is>
      </c>
      <c r="F8" s="7" t="inlineStr">
        <is>
          <t>falha de gravacao</t>
        </is>
      </c>
      <c r="G8" s="7" t="inlineStr">
        <is>
          <t>repetir gravacao e alertar</t>
        </is>
      </c>
      <c r="H8" s="7" t="inlineStr">
        <is>
          <t>nao perder trilha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4" customWidth="1" min="3" max="3"/>
    <col width="14" customWidth="1" min="4" max="4"/>
    <col width="12" customWidth="1" min="5" max="5"/>
    <col width="16" customWidth="1" min="6" max="6"/>
    <col width="26" customWidth="1" min="7" max="7"/>
  </cols>
  <sheetData>
    <row r="1">
      <c r="A1" s="10" t="inlineStr">
        <is>
          <t>GATEWAY</t>
        </is>
      </c>
      <c r="B1" s="10" t="inlineStr">
        <is>
          <t>STATUS_ORIGEM</t>
        </is>
      </c>
      <c r="C1" s="10" t="inlineStr">
        <is>
          <t>STATUS_INTERNO_PADRAO</t>
        </is>
      </c>
      <c r="D1" s="10" t="inlineStr">
        <is>
          <t>GERA_RECIBO</t>
        </is>
      </c>
      <c r="E1" s="10" t="inlineStr">
        <is>
          <t>LIBERA_NF</t>
        </is>
      </c>
      <c r="F1" s="10" t="inlineStr">
        <is>
          <t>EXIGE_REVISAO</t>
        </is>
      </c>
      <c r="G1" s="10" t="inlineStr">
        <is>
          <t>OBSERVACAO</t>
        </is>
      </c>
    </row>
    <row r="2">
      <c r="A2" s="7" t="inlineStr">
        <is>
          <t>ASAAS</t>
        </is>
      </c>
      <c r="B2" s="7" t="inlineStr">
        <is>
          <t>RECEIVED</t>
        </is>
      </c>
      <c r="C2" s="7" t="inlineStr">
        <is>
          <t>APROVADO</t>
        </is>
      </c>
      <c r="D2" s="7" t="inlineStr">
        <is>
          <t>SIM</t>
        </is>
      </c>
      <c r="E2" s="7" t="inlineStr">
        <is>
          <t>SIM</t>
        </is>
      </c>
      <c r="F2" s="7" t="inlineStr">
        <is>
          <t>NAO</t>
        </is>
      </c>
      <c r="G2" s="7" t="inlineStr">
        <is>
          <t>Pagamento confirmado</t>
        </is>
      </c>
    </row>
    <row r="3">
      <c r="A3" s="7" t="inlineStr">
        <is>
          <t>ASAAS</t>
        </is>
      </c>
      <c r="B3" s="7" t="inlineStr">
        <is>
          <t>CONFIRMED</t>
        </is>
      </c>
      <c r="C3" s="7" t="inlineStr">
        <is>
          <t>APROVADO</t>
        </is>
      </c>
      <c r="D3" s="7" t="inlineStr">
        <is>
          <t>SIM</t>
        </is>
      </c>
      <c r="E3" s="7" t="inlineStr">
        <is>
          <t>SIM</t>
        </is>
      </c>
      <c r="F3" s="7" t="inlineStr">
        <is>
          <t>NAO</t>
        </is>
      </c>
      <c r="G3" s="7" t="inlineStr">
        <is>
          <t>Pagamento confirmado</t>
        </is>
      </c>
    </row>
    <row r="4">
      <c r="A4" s="7" t="inlineStr">
        <is>
          <t>ASAAS</t>
        </is>
      </c>
      <c r="B4" s="7" t="inlineStr">
        <is>
          <t>PENDING</t>
        </is>
      </c>
      <c r="C4" s="7" t="inlineStr">
        <is>
          <t>PENDENTE</t>
        </is>
      </c>
      <c r="D4" s="7" t="inlineStr">
        <is>
          <t>NAO</t>
        </is>
      </c>
      <c r="E4" s="7" t="inlineStr">
        <is>
          <t>NAO</t>
        </is>
      </c>
      <c r="F4" s="7" t="inlineStr">
        <is>
          <t>NAO</t>
        </is>
      </c>
      <c r="G4" s="7" t="inlineStr">
        <is>
          <t>Aguardar liquidacao</t>
        </is>
      </c>
    </row>
    <row r="5">
      <c r="A5" s="7" t="inlineStr">
        <is>
          <t>ASAAS</t>
        </is>
      </c>
      <c r="B5" s="7" t="inlineStr">
        <is>
          <t>OVERDUE</t>
        </is>
      </c>
      <c r="C5" s="7" t="inlineStr">
        <is>
          <t>VENCIDO</t>
        </is>
      </c>
      <c r="D5" s="7" t="inlineStr">
        <is>
          <t>NAO</t>
        </is>
      </c>
      <c r="E5" s="7" t="inlineStr">
        <is>
          <t>NAO</t>
        </is>
      </c>
      <c r="F5" s="7" t="inlineStr">
        <is>
          <t>NAO</t>
        </is>
      </c>
      <c r="G5" s="7" t="inlineStr">
        <is>
          <t>Cobranca em aberto</t>
        </is>
      </c>
    </row>
    <row r="6">
      <c r="A6" s="7" t="inlineStr">
        <is>
          <t>MERCADO PAGO</t>
        </is>
      </c>
      <c r="B6" s="7" t="inlineStr">
        <is>
          <t>approved</t>
        </is>
      </c>
      <c r="C6" s="7" t="inlineStr">
        <is>
          <t>APROVADO</t>
        </is>
      </c>
      <c r="D6" s="7" t="inlineStr">
        <is>
          <t>SIM</t>
        </is>
      </c>
      <c r="E6" s="7" t="inlineStr">
        <is>
          <t>SIM</t>
        </is>
      </c>
      <c r="F6" s="7" t="inlineStr">
        <is>
          <t>NAO</t>
        </is>
      </c>
      <c r="G6" s="7" t="inlineStr">
        <is>
          <t>Pagamento aprovado</t>
        </is>
      </c>
    </row>
    <row r="7">
      <c r="A7" s="7" t="inlineStr">
        <is>
          <t>MERCADO PAGO</t>
        </is>
      </c>
      <c r="B7" s="7" t="inlineStr">
        <is>
          <t>pending</t>
        </is>
      </c>
      <c r="C7" s="7" t="inlineStr">
        <is>
          <t>PENDENTE</t>
        </is>
      </c>
      <c r="D7" s="7" t="inlineStr">
        <is>
          <t>NAO</t>
        </is>
      </c>
      <c r="E7" s="7" t="inlineStr">
        <is>
          <t>NAO</t>
        </is>
      </c>
      <c r="F7" s="7" t="inlineStr">
        <is>
          <t>NAO</t>
        </is>
      </c>
      <c r="G7" s="7" t="inlineStr">
        <is>
          <t>Aguardar aprovacao</t>
        </is>
      </c>
    </row>
    <row r="8">
      <c r="A8" s="7" t="inlineStr">
        <is>
          <t>MERCADO PAGO</t>
        </is>
      </c>
      <c r="B8" s="7" t="inlineStr">
        <is>
          <t>in_process</t>
        </is>
      </c>
      <c r="C8" s="7" t="inlineStr">
        <is>
          <t>EM_ANALISE</t>
        </is>
      </c>
      <c r="D8" s="7" t="inlineStr">
        <is>
          <t>NAO</t>
        </is>
      </c>
      <c r="E8" s="7" t="inlineStr">
        <is>
          <t>NAO</t>
        </is>
      </c>
      <c r="F8" s="7" t="inlineStr">
        <is>
          <t>SIM</t>
        </is>
      </c>
      <c r="G8" s="7" t="inlineStr">
        <is>
          <t>Revisar antifraude</t>
        </is>
      </c>
    </row>
    <row r="9">
      <c r="A9" s="7" t="inlineStr">
        <is>
          <t>MERCADO PAGO</t>
        </is>
      </c>
      <c r="B9" s="7" t="inlineStr">
        <is>
          <t>rejected</t>
        </is>
      </c>
      <c r="C9" s="7" t="inlineStr">
        <is>
          <t>REJEITADO</t>
        </is>
      </c>
      <c r="D9" s="7" t="inlineStr">
        <is>
          <t>NAO</t>
        </is>
      </c>
      <c r="E9" s="7" t="inlineStr">
        <is>
          <t>NAO</t>
        </is>
      </c>
      <c r="F9" s="7" t="inlineStr">
        <is>
          <t>NAO</t>
        </is>
      </c>
      <c r="G9" s="7" t="inlineStr">
        <is>
          <t>Nao emitir NF</t>
        </is>
      </c>
    </row>
    <row r="10">
      <c r="A10" s="7" t="inlineStr">
        <is>
          <t>PIX MANUAL</t>
        </is>
      </c>
      <c r="B10" s="7" t="inlineStr">
        <is>
          <t>confirmado_manual</t>
        </is>
      </c>
      <c r="C10" s="7" t="inlineStr">
        <is>
          <t>APROVADO</t>
        </is>
      </c>
      <c r="D10" s="7" t="inlineStr">
        <is>
          <t>SIM</t>
        </is>
      </c>
      <c r="E10" s="7" t="inlineStr">
        <is>
          <t>SIM</t>
        </is>
      </c>
      <c r="F10" s="7" t="inlineStr">
        <is>
          <t>SIM</t>
        </is>
      </c>
      <c r="G10" s="7" t="inlineStr">
        <is>
          <t>Exige auditoria humana</t>
        </is>
      </c>
    </row>
    <row r="11">
      <c r="A11" s="7" t="inlineStr">
        <is>
          <t>CARTAO MANUAL</t>
        </is>
      </c>
      <c r="B11" s="7" t="inlineStr">
        <is>
          <t>confirmado_manual</t>
        </is>
      </c>
      <c r="C11" s="7" t="inlineStr">
        <is>
          <t>APROVADO</t>
        </is>
      </c>
      <c r="D11" s="7" t="inlineStr">
        <is>
          <t>SIM</t>
        </is>
      </c>
      <c r="E11" s="7" t="inlineStr">
        <is>
          <t>SIM</t>
        </is>
      </c>
      <c r="F11" s="7" t="inlineStr">
        <is>
          <t>SIM</t>
        </is>
      </c>
      <c r="G11" s="7" t="inlineStr">
        <is>
          <t>Conferir comprovante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24" customWidth="1" min="3" max="3"/>
    <col width="24" customWidth="1" min="4" max="4"/>
    <col width="46" customWidth="1" min="5" max="5"/>
    <col width="18" customWidth="1" min="6" max="6"/>
    <col width="18" customWidth="1" min="7" max="7"/>
    <col width="16" customWidth="1" min="8" max="8"/>
    <col width="20" customWidth="1" min="9" max="9"/>
    <col width="20" customWidth="1" min="10" max="10"/>
    <col width="14" customWidth="1" min="11" max="11"/>
  </cols>
  <sheetData>
    <row r="1">
      <c r="A1" s="10" t="inlineStr">
        <is>
          <t>CODIGO_INTERNO</t>
        </is>
      </c>
      <c r="B1" s="10" t="inlineStr">
        <is>
          <t>CATEGORIA</t>
        </is>
      </c>
      <c r="C1" s="10" t="inlineStr">
        <is>
          <t>SUBCATEGORIA</t>
        </is>
      </c>
      <c r="D1" s="10" t="inlineStr">
        <is>
          <t>NOME_EXIBICAO</t>
        </is>
      </c>
      <c r="E1" s="10" t="inlineStr">
        <is>
          <t>TEXTO_BASE_NF</t>
        </is>
      </c>
      <c r="F1" s="10" t="inlineStr">
        <is>
          <t>PERMITE_QUANTIDADE</t>
        </is>
      </c>
      <c r="G1" s="10" t="inlineStr">
        <is>
          <t>PERMITE_FREQUENCIA</t>
        </is>
      </c>
      <c r="H1" s="10" t="inlineStr">
        <is>
          <t>PERMITE_DURACAO</t>
        </is>
      </c>
      <c r="I1" s="10" t="inlineStr">
        <is>
          <t>EXIGE_CODIGO_INTERNO</t>
        </is>
      </c>
      <c r="J1" s="10" t="inlineStr">
        <is>
          <t>EXIGE_REVISAO_HUMANA</t>
        </is>
      </c>
      <c r="K1" s="10" t="inlineStr">
        <is>
          <t>MODO_TEXTO</t>
        </is>
      </c>
    </row>
    <row r="2">
      <c r="A2" s="7" t="inlineStr">
        <is>
          <t>MC_CONS_001</t>
        </is>
      </c>
      <c r="B2" s="7" t="inlineStr">
        <is>
          <t>consulta</t>
        </is>
      </c>
      <c r="C2" s="7" t="inlineStr">
        <is>
          <t>consulta integrativa</t>
        </is>
      </c>
      <c r="D2" s="7" t="inlineStr">
        <is>
          <t>Consulta medica integrativa</t>
        </is>
      </c>
      <c r="E2" s="7" t="inlineStr">
        <is>
          <t>Honorarios medicos referentes a consulta medica integrativa.</t>
        </is>
      </c>
      <c r="F2" s="7" t="inlineStr">
        <is>
          <t>NAO</t>
        </is>
      </c>
      <c r="G2" s="7" t="inlineStr">
        <is>
          <t>NAO</t>
        </is>
      </c>
      <c r="H2" s="7" t="inlineStr">
        <is>
          <t>NAO</t>
        </is>
      </c>
      <c r="I2" s="7" t="inlineStr">
        <is>
          <t>SIM</t>
        </is>
      </c>
      <c r="J2" s="7" t="inlineStr">
        <is>
          <t>NAO</t>
        </is>
      </c>
      <c r="K2" s="7" t="inlineStr">
        <is>
          <t>resumo</t>
        </is>
      </c>
    </row>
    <row r="3">
      <c r="A3" s="7" t="inlineStr">
        <is>
          <t>MC_EXM_001</t>
        </is>
      </c>
      <c r="B3" s="7" t="inlineStr">
        <is>
          <t>exames</t>
        </is>
      </c>
      <c r="C3" s="7" t="inlineStr">
        <is>
          <t>emissao de guias</t>
        </is>
      </c>
      <c r="D3" s="7" t="inlineStr">
        <is>
          <t>Emissao de guias de exames</t>
        </is>
      </c>
      <c r="E3" s="7" t="inlineStr">
        <is>
          <t>Honorarios medicos referentes a emissao de guias de exames e orientacao clinica correlata.</t>
        </is>
      </c>
      <c r="F3" s="7" t="inlineStr">
        <is>
          <t>NAO</t>
        </is>
      </c>
      <c r="G3" s="7" t="inlineStr">
        <is>
          <t>NAO</t>
        </is>
      </c>
      <c r="H3" s="7" t="inlineStr">
        <is>
          <t>NAO</t>
        </is>
      </c>
      <c r="I3" s="7" t="inlineStr">
        <is>
          <t>SIM</t>
        </is>
      </c>
      <c r="J3" s="7" t="inlineStr">
        <is>
          <t>NAO</t>
        </is>
      </c>
      <c r="K3" s="7" t="inlineStr">
        <is>
          <t>resumo</t>
        </is>
      </c>
    </row>
    <row r="4">
      <c r="A4" s="7" t="inlineStr">
        <is>
          <t>MC_EXM_002</t>
        </is>
      </c>
      <c r="B4" s="7" t="inlineStr">
        <is>
          <t>exames</t>
        </is>
      </c>
      <c r="C4" s="7" t="inlineStr">
        <is>
          <t>solicitacao e interpretacao</t>
        </is>
      </c>
      <c r="D4" s="7" t="inlineStr">
        <is>
          <t>Solicitacao de exames laboratoriais</t>
        </is>
      </c>
      <c r="E4" s="7" t="inlineStr">
        <is>
          <t>Honorarios medicos referentes a solicitacao e interpretacao clinica inicial de exames laboratoriais.</t>
        </is>
      </c>
      <c r="F4" s="7" t="inlineStr">
        <is>
          <t>NAO</t>
        </is>
      </c>
      <c r="G4" s="7" t="inlineStr">
        <is>
          <t>NAO</t>
        </is>
      </c>
      <c r="H4" s="7" t="inlineStr">
        <is>
          <t>NAO</t>
        </is>
      </c>
      <c r="I4" s="7" t="inlineStr">
        <is>
          <t>SIM</t>
        </is>
      </c>
      <c r="J4" s="7" t="inlineStr">
        <is>
          <t>SIM</t>
        </is>
      </c>
      <c r="K4" s="7" t="inlineStr">
        <is>
          <t>detalhado</t>
        </is>
      </c>
    </row>
    <row r="5">
      <c r="A5" s="7" t="inlineStr">
        <is>
          <t>MC_INF_001</t>
        </is>
      </c>
      <c r="B5" s="7" t="inlineStr">
        <is>
          <t>infusao</t>
        </is>
      </c>
      <c r="C5" s="7" t="inlineStr">
        <is>
          <t>soro antioxidante</t>
        </is>
      </c>
      <c r="D5" s="7" t="inlineStr">
        <is>
          <t>Soro antioxidante endovenoso</t>
        </is>
      </c>
      <c r="E5" s="7" t="inlineStr">
        <is>
          <t>Honorarios medicos referentes a protocolo injetavel endovenoso tipo soro antioxidante.</t>
        </is>
      </c>
      <c r="F5" s="7" t="inlineStr">
        <is>
          <t>SIM</t>
        </is>
      </c>
      <c r="G5" s="7" t="inlineStr">
        <is>
          <t>SIM</t>
        </is>
      </c>
      <c r="H5" s="7" t="inlineStr">
        <is>
          <t>SIM</t>
        </is>
      </c>
      <c r="I5" s="7" t="inlineStr">
        <is>
          <t>SIM</t>
        </is>
      </c>
      <c r="J5" s="7" t="inlineStr">
        <is>
          <t>NAO</t>
        </is>
      </c>
      <c r="K5" s="7" t="inlineStr">
        <is>
          <t>detalhado</t>
        </is>
      </c>
    </row>
    <row r="6">
      <c r="A6" s="7" t="inlineStr">
        <is>
          <t>MC_INF_002</t>
        </is>
      </c>
      <c r="B6" s="7" t="inlineStr">
        <is>
          <t>infusao</t>
        </is>
      </c>
      <c r="C6" s="7" t="inlineStr">
        <is>
          <t>reposicao endovenosa</t>
        </is>
      </c>
      <c r="D6" s="7" t="inlineStr">
        <is>
          <t>Infusao endovenosa de micronutrientes</t>
        </is>
      </c>
      <c r="E6" s="7" t="inlineStr">
        <is>
          <t>Honorarios medicos referentes a infusao endovenosa assistida de micronutrientes.</t>
        </is>
      </c>
      <c r="F6" s="7" t="inlineStr">
        <is>
          <t>SIM</t>
        </is>
      </c>
      <c r="G6" s="7" t="inlineStr">
        <is>
          <t>SIM</t>
        </is>
      </c>
      <c r="H6" s="7" t="inlineStr">
        <is>
          <t>SIM</t>
        </is>
      </c>
      <c r="I6" s="7" t="inlineStr">
        <is>
          <t>SIM</t>
        </is>
      </c>
      <c r="J6" s="7" t="inlineStr">
        <is>
          <t>SIM</t>
        </is>
      </c>
      <c r="K6" s="7" t="inlineStr">
        <is>
          <t>detalhado</t>
        </is>
      </c>
    </row>
    <row r="7">
      <c r="A7" s="7" t="inlineStr">
        <is>
          <t>MC_INJ_001</t>
        </is>
      </c>
      <c r="B7" s="7" t="inlineStr">
        <is>
          <t>injetavel</t>
        </is>
      </c>
      <c r="C7" s="7" t="inlineStr">
        <is>
          <t>vitamina intramuscular</t>
        </is>
      </c>
      <c r="D7" s="7" t="inlineStr">
        <is>
          <t>Aplicacao injetavel intramuscular</t>
        </is>
      </c>
      <c r="E7" s="7" t="inlineStr">
        <is>
          <t>Honorarios medicos referentes a aplicacao terapeutica injetavel intramuscular assistida.</t>
        </is>
      </c>
      <c r="F7" s="7" t="inlineStr">
        <is>
          <t>SIM</t>
        </is>
      </c>
      <c r="G7" s="7" t="inlineStr">
        <is>
          <t>SIM</t>
        </is>
      </c>
      <c r="H7" s="7" t="inlineStr">
        <is>
          <t>NAO</t>
        </is>
      </c>
      <c r="I7" s="7" t="inlineStr">
        <is>
          <t>SIM</t>
        </is>
      </c>
      <c r="J7" s="7" t="inlineStr">
        <is>
          <t>NAO</t>
        </is>
      </c>
      <c r="K7" s="7" t="inlineStr">
        <is>
          <t>resumo</t>
        </is>
      </c>
    </row>
    <row r="8">
      <c r="A8" s="7" t="inlineStr">
        <is>
          <t>MC_RET_001</t>
        </is>
      </c>
      <c r="B8" s="7" t="inlineStr">
        <is>
          <t>retorno</t>
        </is>
      </c>
      <c r="C8" s="7" t="inlineStr">
        <is>
          <t>retorno assistido</t>
        </is>
      </c>
      <c r="D8" s="7" t="inlineStr">
        <is>
          <t>Retorno medico assistido</t>
        </is>
      </c>
      <c r="E8" s="7" t="inlineStr">
        <is>
          <t>Honorarios medicos referentes a retorno medico e reavaliacao clinica.</t>
        </is>
      </c>
      <c r="F8" s="7" t="inlineStr">
        <is>
          <t>NAO</t>
        </is>
      </c>
      <c r="G8" s="7" t="inlineStr">
        <is>
          <t>NAO</t>
        </is>
      </c>
      <c r="H8" s="7" t="inlineStr">
        <is>
          <t>NAO</t>
        </is>
      </c>
      <c r="I8" s="7" t="inlineStr">
        <is>
          <t>SIM</t>
        </is>
      </c>
      <c r="J8" s="7" t="inlineStr">
        <is>
          <t>NAO</t>
        </is>
      </c>
      <c r="K8" s="7" t="inlineStr">
        <is>
          <t>resumo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60" customWidth="1" min="3" max="3"/>
    <col width="54" customWidth="1" min="4" max="4"/>
    <col width="24" customWidth="1" min="5" max="5"/>
  </cols>
  <sheetData>
    <row r="1">
      <c r="A1" s="10" t="inlineStr">
        <is>
          <t>REGRA_ID</t>
        </is>
      </c>
      <c r="B1" s="10" t="inlineStr">
        <is>
          <t>CONDICAO</t>
        </is>
      </c>
      <c r="C1" s="10" t="inlineStr">
        <is>
          <t>TEMPLATE_TEXTO</t>
        </is>
      </c>
      <c r="D1" s="10" t="inlineStr">
        <is>
          <t>EXEMPLO</t>
        </is>
      </c>
      <c r="E1" s="10" t="inlineStr">
        <is>
          <t>OBS</t>
        </is>
      </c>
    </row>
    <row r="2">
      <c r="A2" s="7" t="inlineStr">
        <is>
          <t>R001</t>
        </is>
      </c>
      <c r="B2" s="7" t="inlineStr">
        <is>
          <t>categoria = consulta</t>
        </is>
      </c>
      <c r="C2" s="7" t="inlineStr">
        <is>
          <t>Honorarios medicos referentes a {nome_exibicao}.</t>
        </is>
      </c>
      <c r="D2" s="7" t="inlineStr">
        <is>
          <t>Honorarios medicos referentes a consulta medica integrativa.</t>
        </is>
      </c>
      <c r="E2" s="7" t="inlineStr">
        <is>
          <t>Template resumido padrao</t>
        </is>
      </c>
    </row>
    <row r="3">
      <c r="A3" s="7" t="inlineStr">
        <is>
          <t>R002</t>
        </is>
      </c>
      <c r="B3" s="7" t="inlineStr">
        <is>
          <t>categoria = exames e subcategoria = emissao de guias</t>
        </is>
      </c>
      <c r="C3" s="7" t="inlineStr">
        <is>
          <t>Honorarios medicos referentes a emissao de guias de exames e orientacao clinica correlata.</t>
        </is>
      </c>
      <c r="D3" s="7" t="inlineStr">
        <is>
          <t>Honorarios medicos referentes a emissao de guias de exames e orientacao clinica correlata.</t>
        </is>
      </c>
      <c r="E3" s="7" t="inlineStr">
        <is>
          <t>Padrao para exame sem excesso de detalhe</t>
        </is>
      </c>
    </row>
    <row r="4">
      <c r="A4" s="7" t="inlineStr">
        <is>
          <t>R003</t>
        </is>
      </c>
      <c r="B4" s="7" t="inlineStr">
        <is>
          <t>categoria = exames e subcategoria = solicitacao e interpretacao</t>
        </is>
      </c>
      <c r="C4" s="7" t="inlineStr">
        <is>
          <t>Honorarios medicos referentes a solicitacao e interpretacao clinica de exames laboratoriais.</t>
        </is>
      </c>
      <c r="D4" s="7" t="inlineStr">
        <is>
          <t>Honorarios medicos referentes a solicitacao e interpretacao clinica de exames laboratoriais.</t>
        </is>
      </c>
      <c r="E4" s="7" t="inlineStr">
        <is>
          <t>Pode exigir revisao</t>
        </is>
      </c>
    </row>
    <row r="5">
      <c r="A5" s="7" t="inlineStr">
        <is>
          <t>R004</t>
        </is>
      </c>
      <c r="B5" s="7" t="inlineStr">
        <is>
          <t>categoria = infusao e quantidade preenchida</t>
        </is>
      </c>
      <c r="C5" s="7" t="inlineStr">
        <is>
          <t>Honorarios medicos referentes a protocolo injetavel endovenoso tipo {nome_exibicao}, com {quantidade_unidades} unidade(s), duracao media de {duracao_media}, frequencia {frequencia_planejada}.</t>
        </is>
      </c>
      <c r="D5" s="7" t="inlineStr">
        <is>
          <t>Honorarios medicos referentes a protocolo injetavel endovenoso tipo soro antioxidante, com 1 unidade, duracao media de 60 minutos, frequencia semanal.</t>
        </is>
      </c>
      <c r="E5" s="7" t="inlineStr">
        <is>
          <t>Template detalhado</t>
        </is>
      </c>
    </row>
    <row r="6">
      <c r="A6" s="7" t="inlineStr">
        <is>
          <t>R005</t>
        </is>
      </c>
      <c r="B6" s="7" t="inlineStr">
        <is>
          <t>categoria = injetavel e quantidade preenchida</t>
        </is>
      </c>
      <c r="C6" s="7" t="inlineStr">
        <is>
          <t>Honorarios medicos referentes a aplicacao terapeutica injetavel de {nome_exibicao}, quantidade {quantidade_unidades}.</t>
        </is>
      </c>
      <c r="D6" s="7" t="inlineStr">
        <is>
          <t>Honorarios medicos referentes a aplicacao terapeutica injetavel de vitamina intramuscular, quantidade 1.</t>
        </is>
      </c>
      <c r="E6" s="7" t="inlineStr">
        <is>
          <t>Detalhe moderado</t>
        </is>
      </c>
    </row>
    <row r="7">
      <c r="A7" s="7" t="inlineStr">
        <is>
          <t>R006</t>
        </is>
      </c>
      <c r="B7" s="7" t="inlineStr">
        <is>
          <t>tag_reembolso_convenio = sim</t>
        </is>
      </c>
      <c r="C7" s="7" t="inlineStr">
        <is>
          <t>Honorarios medicos referentes a {nome_exibicao}, conforme atendimento/protocolo medico executado.</t>
        </is>
      </c>
      <c r="D7" s="7" t="inlineStr">
        <is>
          <t>Honorarios medicos referentes a protocolo injetavel endovenoso, conforme atendimento medico executado.</t>
        </is>
      </c>
      <c r="E7" s="7" t="inlineStr">
        <is>
          <t>Texto mais neutro para reembolso</t>
        </is>
      </c>
    </row>
    <row r="8">
      <c r="A8" s="7" t="inlineStr">
        <is>
          <t>R007</t>
        </is>
      </c>
      <c r="B8" s="7" t="inlineStr">
        <is>
          <t>dados insuficientes</t>
        </is>
      </c>
      <c r="C8" s="7" t="inlineStr">
        <is>
          <t>BLOQUEAR EMISSAO</t>
        </is>
      </c>
      <c r="D8" s="7" t="inlineStr">
        <is>
          <t>BLOQUEAR EMISSAO</t>
        </is>
      </c>
      <c r="E8" s="7" t="inlineStr">
        <is>
          <t>Nao emitir sem dados minimos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30" customWidth="1" min="3" max="3"/>
    <col width="56" customWidth="1" min="4" max="4"/>
    <col width="10" customWidth="1" min="5" max="5"/>
    <col width="36" customWidth="1" min="6" max="6"/>
    <col width="22" customWidth="1" min="7" max="7"/>
    <col width="20" customWidth="1" min="8" max="8"/>
  </cols>
  <sheetData>
    <row r="1">
      <c r="A1" s="10" t="inlineStr">
        <is>
          <t>TESTE</t>
        </is>
      </c>
      <c r="B1" s="10" t="inlineStr">
        <is>
          <t>CENARIO</t>
        </is>
      </c>
      <c r="C1" s="10" t="inlineStr">
        <is>
          <t>ENTRADA RESUMIDA</t>
        </is>
      </c>
      <c r="D1" s="10" t="inlineStr">
        <is>
          <t>RESULTADO ESPERADO</t>
        </is>
      </c>
      <c r="E1" s="10" t="inlineStr">
        <is>
          <t>STATUS</t>
        </is>
      </c>
      <c r="F1" s="10" t="inlineStr">
        <is>
          <t>FORMULA EXEMPLO</t>
        </is>
      </c>
      <c r="G1" s="10" t="inlineStr">
        <is>
          <t>RISCO EVITADO</t>
        </is>
      </c>
      <c r="H1" s="10" t="inlineStr">
        <is>
          <t>OBS</t>
        </is>
      </c>
    </row>
    <row r="2">
      <c r="A2" s="7" t="inlineStr">
        <is>
          <t>T001</t>
        </is>
      </c>
      <c r="B2" s="7" t="inlineStr">
        <is>
          <t>Consulta simples paga no ASAAS</t>
        </is>
      </c>
      <c r="C2" s="7" t="inlineStr">
        <is>
          <t>APROVADO + MC_CONS_001</t>
        </is>
      </c>
      <c r="D2" s="7" t="inlineStr">
        <is>
          <t>Honorarios medicos referentes a consulta medica integrativa.</t>
        </is>
      </c>
      <c r="E2" s="7" t="inlineStr">
        <is>
          <t>OK</t>
        </is>
      </c>
      <c r="F2" s="7">
        <f>SE(E(B2&lt;&gt;"";C2&lt;&gt;"");"VALIDAR";"REVISAR")</f>
        <v/>
      </c>
      <c r="G2" s="7" t="inlineStr">
        <is>
          <t>Texto generico</t>
        </is>
      </c>
      <c r="H2" s="7" t="inlineStr"/>
    </row>
    <row r="3">
      <c r="A3" s="7" t="inlineStr">
        <is>
          <t>T002</t>
        </is>
      </c>
      <c r="B3" s="7" t="inlineStr">
        <is>
          <t>Emissao de guias de exames</t>
        </is>
      </c>
      <c r="C3" s="7" t="inlineStr">
        <is>
          <t>APROVADO + MC_EXM_001</t>
        </is>
      </c>
      <c r="D3" s="7" t="inlineStr">
        <is>
          <t>Honorarios medicos referentes a emissao de guias de exames e orientacao clinica correlata.</t>
        </is>
      </c>
      <c r="E3" s="7" t="inlineStr">
        <is>
          <t>OK</t>
        </is>
      </c>
      <c r="F3" s="7">
        <f>SE(PROCURAR("Honorarios";D3)&gt;0;"OK";"REVISAR")</f>
        <v/>
      </c>
      <c r="G3" s="7" t="inlineStr">
        <is>
          <t>Descricao vaga</t>
        </is>
      </c>
      <c r="H3" s="7" t="inlineStr"/>
    </row>
    <row r="4">
      <c r="A4" s="7" t="inlineStr">
        <is>
          <t>T003</t>
        </is>
      </c>
      <c r="B4" s="7" t="inlineStr">
        <is>
          <t>Interpretacao de exames</t>
        </is>
      </c>
      <c r="C4" s="7" t="inlineStr">
        <is>
          <t>APROVADO + MC_EXM_002</t>
        </is>
      </c>
      <c r="D4" s="7" t="inlineStr">
        <is>
          <t>Honorarios medicos referentes a solicitacao e interpretacao clinica de exames laboratoriais.</t>
        </is>
      </c>
      <c r="E4" s="7" t="inlineStr">
        <is>
          <t>OK</t>
        </is>
      </c>
      <c r="F4" s="7">
        <f>SE(PROCURAR("interpretacao";D4)&gt;0;"OK";"REVISAR")</f>
        <v/>
      </c>
      <c r="G4" s="7" t="inlineStr">
        <is>
          <t>Falta de clareza</t>
        </is>
      </c>
      <c r="H4" s="7" t="inlineStr"/>
    </row>
    <row r="5">
      <c r="A5" s="7" t="inlineStr">
        <is>
          <t>T004</t>
        </is>
      </c>
      <c r="B5" s="7" t="inlineStr">
        <is>
          <t>Soro antioxidante semanal</t>
        </is>
      </c>
      <c r="C5" s="7" t="inlineStr">
        <is>
          <t>APROVADO + MC_INF_001 + qtd/dur/freq</t>
        </is>
      </c>
      <c r="D5" s="7" t="inlineStr">
        <is>
          <t>Honorarios medicos referentes a protocolo injetavel endovenoso tipo soro antioxidante, com 1 unidade, duracao media de 60 minutos, frequencia semanal.</t>
        </is>
      </c>
      <c r="E5" s="7" t="inlineStr">
        <is>
          <t>OK</t>
        </is>
      </c>
      <c r="F5" s="7">
        <f>SE(E(PROCURAR("protocolo";D5)&gt;0;PROCURAR("frequencia";D5)&gt;0);"OK";"REVISAR")</f>
        <v/>
      </c>
      <c r="G5" s="7" t="inlineStr">
        <is>
          <t>Texto incompleto</t>
        </is>
      </c>
      <c r="H5" s="7" t="inlineStr"/>
    </row>
    <row r="6">
      <c r="A6" s="7" t="inlineStr">
        <is>
          <t>T005</t>
        </is>
      </c>
      <c r="B6" s="7" t="inlineStr">
        <is>
          <t>Pagamento pendente Mercado Pago</t>
        </is>
      </c>
      <c r="C6" s="7" t="inlineStr">
        <is>
          <t>PENDENTE + qualquer procedimento</t>
        </is>
      </c>
      <c r="D6" s="7" t="inlineStr">
        <is>
          <t>BLOQUEAR EMISSAO</t>
        </is>
      </c>
      <c r="E6" s="7" t="inlineStr">
        <is>
          <t>OK</t>
        </is>
      </c>
      <c r="F6" s="7">
        <f>SE(PROCURAR("BLOQUEAR";D6)&gt;0;"OK";"ERRO")</f>
        <v/>
      </c>
      <c r="G6" s="7" t="inlineStr">
        <is>
          <t>Emitir sem liquidacao</t>
        </is>
      </c>
      <c r="H6" s="7" t="inlineStr"/>
    </row>
    <row r="7">
      <c r="A7" s="7" t="inlineStr">
        <is>
          <t>T006</t>
        </is>
      </c>
      <c r="B7" s="7" t="inlineStr">
        <is>
          <t>Ausencia de CPF do tomador</t>
        </is>
      </c>
      <c r="C7" s="7" t="inlineStr">
        <is>
          <t>APROVADO + sem cpf</t>
        </is>
      </c>
      <c r="D7" s="7" t="inlineStr">
        <is>
          <t>BLOQUEAR ou REVISAO HUMANA</t>
        </is>
      </c>
      <c r="E7" s="7" t="inlineStr">
        <is>
          <t>OK</t>
        </is>
      </c>
      <c r="F7" s="7">
        <f>SE(D7&lt;&gt;"";"OK";"REVISAR")</f>
        <v/>
      </c>
      <c r="G7" s="7" t="inlineStr">
        <is>
          <t>Falha fiscal minima</t>
        </is>
      </c>
      <c r="H7" s="7" t="inlineStr"/>
    </row>
    <row r="8">
      <c r="A8" s="7" t="inlineStr">
        <is>
          <t>T007</t>
        </is>
      </c>
      <c r="B8" s="7" t="inlineStr">
        <is>
          <t>Procedimento sem codigo interno</t>
        </is>
      </c>
      <c r="C8" s="7" t="inlineStr">
        <is>
          <t>APROVADO + sem codigo</t>
        </is>
      </c>
      <c r="D8" s="7" t="inlineStr">
        <is>
          <t>BLOQUEAR EMISSAO</t>
        </is>
      </c>
      <c r="E8" s="7" t="inlineStr">
        <is>
          <t>OK</t>
        </is>
      </c>
      <c r="F8" s="7">
        <f>SE(PROCURAR("BLOQUEAR";D8)&gt;0;"OK";"ERRO")</f>
        <v/>
      </c>
      <c r="G8" s="7" t="inlineStr">
        <is>
          <t>Texto sem ancora semantica</t>
        </is>
      </c>
      <c r="H8" s="7" t="inlineStr"/>
    </row>
    <row r="9">
      <c r="A9" s="7" t="inlineStr">
        <is>
          <t>T008</t>
        </is>
      </c>
      <c r="B9" s="7" t="inlineStr">
        <is>
          <t>Texto generico detectado</t>
        </is>
      </c>
      <c r="C9" s="7" t="inlineStr">
        <is>
          <t>texto com 'servicos prestados'</t>
        </is>
      </c>
      <c r="D9" s="7" t="inlineStr">
        <is>
          <t>REVISAR</t>
        </is>
      </c>
      <c r="E9" s="7" t="inlineStr">
        <is>
          <t>OK</t>
        </is>
      </c>
      <c r="F9" s="7">
        <f>SE(PROCURAR("REVISAR";D9)&gt;0;"OK";"ERRO")</f>
        <v/>
      </c>
      <c r="G9" s="7" t="inlineStr">
        <is>
          <t>Descricao inadequada</t>
        </is>
      </c>
      <c r="H9" s="7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34" customWidth="1" min="3" max="3"/>
    <col width="34" customWidth="1" min="4" max="4"/>
  </cols>
  <sheetData>
    <row r="1">
      <c r="A1" s="10" t="inlineStr">
        <is>
          <t>ITEM</t>
        </is>
      </c>
      <c r="B1" s="10" t="inlineStr">
        <is>
          <t>SIGNIFICADO</t>
        </is>
      </c>
      <c r="C1" s="10" t="inlineStr">
        <is>
          <t>USO PRATICO</t>
        </is>
      </c>
      <c r="D1" s="10" t="inlineStr">
        <is>
          <t>EXEMPLO</t>
        </is>
      </c>
    </row>
    <row r="2">
      <c r="A2" s="7" t="inlineStr">
        <is>
          <t>status_normalizado</t>
        </is>
      </c>
      <c r="B2" s="7" t="inlineStr">
        <is>
          <t>Traducao do status bruto do gateway para o padrao interno.</t>
        </is>
      </c>
      <c r="C2" s="7" t="inlineStr">
        <is>
          <t>Decide se a nota pode seguir.</t>
        </is>
      </c>
      <c r="D2" s="7" t="inlineStr">
        <is>
          <t>approved -&gt; APROVADO</t>
        </is>
      </c>
    </row>
    <row r="3">
      <c r="A3" s="7" t="inlineStr">
        <is>
          <t>apto_fiscal</t>
        </is>
      </c>
      <c r="B3" s="7" t="inlineStr">
        <is>
          <t>Confirma se os dados minimos para emissao estao completos.</t>
        </is>
      </c>
      <c r="C3" s="7" t="inlineStr">
        <is>
          <t>Evita emissao errada.</t>
        </is>
      </c>
      <c r="D3" s="7" t="inlineStr">
        <is>
          <t>CPF + codigo + nome curto + pagamento valido</t>
        </is>
      </c>
    </row>
    <row r="4">
      <c r="A4" s="7" t="inlineStr">
        <is>
          <t>texto_nf_resumo</t>
        </is>
      </c>
      <c r="B4" s="7" t="inlineStr">
        <is>
          <t>Texto curto para nota simples.</t>
        </is>
      </c>
      <c r="C4" s="7" t="inlineStr">
        <is>
          <t>Consulta, retorno, emissao de guias.</t>
        </is>
      </c>
      <c r="D4" s="7" t="inlineStr">
        <is>
          <t>Honorarios medicos referentes a consulta medica integrativa.</t>
        </is>
      </c>
    </row>
    <row r="5">
      <c r="A5" s="7" t="inlineStr">
        <is>
          <t>texto_nf_detalhado</t>
        </is>
      </c>
      <c r="B5" s="7" t="inlineStr">
        <is>
          <t>Texto mais completo para protocolos e cenarios de reembolso.</t>
        </is>
      </c>
      <c r="C5" s="7" t="inlineStr">
        <is>
          <t>Infusoes e injetaveis com quantidade/frequencia.</t>
        </is>
      </c>
      <c r="D5" s="7" t="inlineStr">
        <is>
          <t>Honorarios medicos referentes a protocolo injetavel endovenoso...</t>
        </is>
      </c>
    </row>
    <row r="6">
      <c r="A6" s="7" t="inlineStr">
        <is>
          <t>texto_nf_final</t>
        </is>
      </c>
      <c r="B6" s="7" t="inlineStr">
        <is>
          <t>Texto final que vai para a emissao.</t>
        </is>
      </c>
      <c r="C6" s="7" t="inlineStr">
        <is>
          <t>Sai do motor para o backend fiscal.</t>
        </is>
      </c>
      <c r="D6" s="7" t="inlineStr">
        <is>
          <t>Resumo ou detalhado conforme a regra</t>
        </is>
      </c>
    </row>
    <row r="7">
      <c r="A7" s="7" t="inlineStr">
        <is>
          <t>revisao humana</t>
        </is>
      </c>
      <c r="B7" s="7" t="inlineStr">
        <is>
          <t>Fila obrigatoria para casos manuais ou ambiguos.</t>
        </is>
      </c>
      <c r="C7" s="7" t="inlineStr">
        <is>
          <t>Protege a operacao.</t>
        </is>
      </c>
      <c r="D7" s="7" t="inlineStr">
        <is>
          <t>PIX manual, sem CPF, texto conflitante</t>
        </is>
      </c>
    </row>
    <row r="8">
      <c r="A8" s="7" t="inlineStr">
        <is>
          <t>backend emissor</t>
        </is>
      </c>
      <c r="B8" s="7" t="inlineStr">
        <is>
          <t>Sistema que recebe os dados e emite a NF.</t>
        </is>
      </c>
      <c r="C8" s="7" t="inlineStr">
        <is>
          <t>Fica desacoplado do motor clinico.</t>
        </is>
      </c>
      <c r="D8" s="7" t="inlineStr">
        <is>
          <t>Payload fiscal + retorno do numero da nota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2026-04-03T12:08:16Z</dcterms:created>
  <dcterms:modified xmlns:dcterms="http://purl.org/dc/terms/" xmlns:xsi="http://www.w3.org/2001/XMLSchema-instance" xsi:type="dcterms:W3CDTF">2026-04-03T13:01:19Z</dcterms:modified>
</cp:coreProperties>
</file>